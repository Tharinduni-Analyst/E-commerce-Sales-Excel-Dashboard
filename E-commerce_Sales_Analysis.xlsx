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https://d.docs.live.net/5d1651104a36d9e5/Documents/"/>
    </mc:Choice>
  </mc:AlternateContent>
  <xr:revisionPtr revIDLastSave="1" documentId="13_ncr:40009_{87FB9188-0C87-49A2-BAAE-9C158D3ED6DB}" xr6:coauthVersionLast="47" xr6:coauthVersionMax="47" xr10:uidLastSave="{AD4362DE-FEDD-46B7-9E67-C830FB2980EC}"/>
  <bookViews>
    <workbookView xWindow="-108" yWindow="-108" windowWidth="23256" windowHeight="12456" activeTab="2" xr2:uid="{00000000-000D-0000-FFFF-FFFF00000000}"/>
  </bookViews>
  <sheets>
    <sheet name="ecommerce_sales_1000_records" sheetId="1" r:id="rId1"/>
    <sheet name="Analysis" sheetId="2" r:id="rId2"/>
    <sheet name="Dashboard" sheetId="3" r:id="rId3"/>
  </sheets>
  <definedNames>
    <definedName name="Slicer_Category">#N/A</definedName>
    <definedName name="Slicer_City">#N/A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3" i="3" l="1"/>
  <c r="R20" i="3"/>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R26" i="3" s="1"/>
  <c r="R13" i="3" l="1"/>
</calcChain>
</file>

<file path=xl/sharedStrings.xml><?xml version="1.0" encoding="utf-8"?>
<sst xmlns="http://schemas.openxmlformats.org/spreadsheetml/2006/main" count="4048" uniqueCount="1049">
  <si>
    <t>Order_ID</t>
  </si>
  <si>
    <t>Product</t>
  </si>
  <si>
    <t>Category</t>
  </si>
  <si>
    <t>Quantity</t>
  </si>
  <si>
    <t>Price</t>
  </si>
  <si>
    <t>City</t>
  </si>
  <si>
    <t>Date</t>
  </si>
  <si>
    <t>ORD1001</t>
  </si>
  <si>
    <t>Backpack</t>
  </si>
  <si>
    <t>Accessories</t>
  </si>
  <si>
    <t>Hyderabad</t>
  </si>
  <si>
    <t>ORD1002</t>
  </si>
  <si>
    <t>Keyboard</t>
  </si>
  <si>
    <t>Electronics</t>
  </si>
  <si>
    <t>Surat</t>
  </si>
  <si>
    <t>ORD1003</t>
  </si>
  <si>
    <t>Book</t>
  </si>
  <si>
    <t>Books</t>
  </si>
  <si>
    <t>Mumbai</t>
  </si>
  <si>
    <t>ORD1004</t>
  </si>
  <si>
    <t>ORD1005</t>
  </si>
  <si>
    <t>Tablet</t>
  </si>
  <si>
    <t>Jaipur</t>
  </si>
  <si>
    <t>ORD1006</t>
  </si>
  <si>
    <t>T-Shirt</t>
  </si>
  <si>
    <t>Fashion</t>
  </si>
  <si>
    <t>Delhi</t>
  </si>
  <si>
    <t>ORD1007</t>
  </si>
  <si>
    <t>Watch</t>
  </si>
  <si>
    <t>Bangalore</t>
  </si>
  <si>
    <t>ORD1008</t>
  </si>
  <si>
    <t>Smartphone</t>
  </si>
  <si>
    <t>Pune</t>
  </si>
  <si>
    <t>ORD1009</t>
  </si>
  <si>
    <t>ORD1010</t>
  </si>
  <si>
    <t>ORD1011</t>
  </si>
  <si>
    <t>ORD1012</t>
  </si>
  <si>
    <t>ORD1013</t>
  </si>
  <si>
    <t>Air Fryer</t>
  </si>
  <si>
    <t>Home Appliances</t>
  </si>
  <si>
    <t>ORD1014</t>
  </si>
  <si>
    <t>ORD1015</t>
  </si>
  <si>
    <t>ORD1016</t>
  </si>
  <si>
    <t>ORD1017</t>
  </si>
  <si>
    <t>Mixer</t>
  </si>
  <si>
    <t>ORD1018</t>
  </si>
  <si>
    <t>Ahmedabad</t>
  </si>
  <si>
    <t>ORD1019</t>
  </si>
  <si>
    <t>Chennai</t>
  </si>
  <si>
    <t>ORD1020</t>
  </si>
  <si>
    <t>Kolkata</t>
  </si>
  <si>
    <t>ORD1021</t>
  </si>
  <si>
    <t>ORD1022</t>
  </si>
  <si>
    <t>ORD1023</t>
  </si>
  <si>
    <t>ORD1024</t>
  </si>
  <si>
    <t>Shoes</t>
  </si>
  <si>
    <t>ORD1025</t>
  </si>
  <si>
    <t>ORD1026</t>
  </si>
  <si>
    <t>ORD1027</t>
  </si>
  <si>
    <t>ORD1028</t>
  </si>
  <si>
    <t>ORD1029</t>
  </si>
  <si>
    <t>ORD1030</t>
  </si>
  <si>
    <t>Jeans</t>
  </si>
  <si>
    <t>ORD1031</t>
  </si>
  <si>
    <t>ORD1032</t>
  </si>
  <si>
    <t>ORD1033</t>
  </si>
  <si>
    <t>ORD1034</t>
  </si>
  <si>
    <t>ORD1035</t>
  </si>
  <si>
    <t>ORD1036</t>
  </si>
  <si>
    <t>ORD1037</t>
  </si>
  <si>
    <t>ORD1038</t>
  </si>
  <si>
    <t>ORD1039</t>
  </si>
  <si>
    <t>Headphones</t>
  </si>
  <si>
    <t>ORD1040</t>
  </si>
  <si>
    <t>ORD1041</t>
  </si>
  <si>
    <t>ORD1042</t>
  </si>
  <si>
    <t>ORD1043</t>
  </si>
  <si>
    <t>ORD1044</t>
  </si>
  <si>
    <t>ORD1045</t>
  </si>
  <si>
    <t>ORD1046</t>
  </si>
  <si>
    <t>Coffee Maker</t>
  </si>
  <si>
    <t>ORD1047</t>
  </si>
  <si>
    <t>ORD1048</t>
  </si>
  <si>
    <t>ORD1049</t>
  </si>
  <si>
    <t>ORD1050</t>
  </si>
  <si>
    <t>ORD1051</t>
  </si>
  <si>
    <t>ORD1052</t>
  </si>
  <si>
    <t>ORD1053</t>
  </si>
  <si>
    <t>ORD1054</t>
  </si>
  <si>
    <t>ORD1055</t>
  </si>
  <si>
    <t>ORD1056</t>
  </si>
  <si>
    <t>Laptop</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</si>
  <si>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</si>
  <si>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</si>
  <si>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</si>
  <si>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</si>
  <si>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</si>
  <si>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</si>
  <si>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</si>
  <si>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</si>
  <si>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</si>
  <si>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</si>
  <si>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</si>
  <si>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</si>
  <si>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</si>
  <si>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</si>
  <si>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</si>
  <si>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</si>
  <si>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</si>
  <si>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</si>
  <si>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</si>
  <si>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</si>
  <si>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</si>
  <si>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</si>
  <si>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</si>
  <si>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</si>
  <si>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</si>
  <si>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</si>
  <si>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</si>
  <si>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</si>
  <si>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</si>
  <si>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</si>
  <si>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</si>
  <si>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</si>
  <si>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</si>
  <si>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</si>
  <si>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</si>
  <si>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</si>
  <si>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</si>
  <si>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</si>
  <si>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</si>
  <si>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</si>
  <si>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</si>
  <si>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</si>
  <si>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</si>
  <si>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</si>
  <si>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</si>
  <si>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</si>
  <si>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</si>
  <si>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</si>
  <si>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</si>
  <si>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</si>
  <si>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</si>
  <si>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</si>
  <si>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</si>
  <si>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</si>
  <si>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</si>
  <si>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</si>
  <si>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</si>
  <si>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</si>
  <si>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</si>
  <si>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</si>
  <si>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</si>
  <si>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</si>
  <si>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</si>
  <si>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</si>
  <si>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</si>
  <si>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</si>
  <si>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</si>
  <si>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</si>
  <si>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</si>
  <si>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</si>
  <si>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</si>
  <si>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</si>
  <si>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</si>
  <si>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</si>
  <si>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</si>
  <si>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</si>
  <si>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</si>
  <si>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</si>
  <si>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</si>
  <si>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</si>
  <si>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</si>
  <si>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</si>
  <si>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</si>
  <si>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</si>
  <si>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</si>
  <si>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</si>
  <si>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</si>
  <si>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</si>
  <si>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</si>
  <si>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</si>
  <si>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</si>
  <si>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</si>
  <si>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</si>
  <si>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</si>
  <si>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</si>
  <si>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</si>
  <si>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</si>
  <si>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</si>
  <si>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</si>
  <si>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</si>
  <si>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</si>
  <si>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</si>
  <si>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</si>
  <si>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</si>
  <si>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</si>
  <si>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</si>
  <si>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</si>
  <si>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</si>
  <si>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</si>
  <si>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</si>
  <si>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</si>
  <si>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</si>
  <si>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</si>
  <si>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</si>
  <si>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</si>
  <si>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</si>
  <si>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</si>
  <si>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</si>
  <si>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</si>
  <si>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</si>
  <si>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</si>
  <si>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</si>
  <si>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</si>
  <si>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</si>
  <si>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</si>
  <si>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</si>
  <si>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</si>
  <si>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</si>
  <si>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</si>
  <si>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</si>
  <si>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</si>
  <si>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</si>
  <si>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</si>
  <si>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</si>
  <si>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</si>
  <si>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</si>
  <si>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</si>
  <si>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</si>
  <si>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</si>
  <si>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</si>
  <si>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</si>
  <si>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</si>
  <si>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</si>
  <si>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</si>
  <si>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</si>
  <si>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</si>
  <si>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</si>
  <si>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</si>
  <si>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</si>
  <si>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</si>
  <si>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</si>
  <si>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</si>
  <si>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</si>
  <si>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</si>
  <si>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</si>
  <si>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</si>
  <si>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</si>
  <si>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</si>
  <si>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</si>
  <si>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</si>
  <si>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</si>
  <si>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</si>
  <si>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</si>
  <si>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</si>
  <si>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</si>
  <si>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</si>
  <si>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</si>
  <si>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</si>
  <si>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</si>
  <si>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</si>
  <si>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</si>
  <si>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</si>
  <si>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</si>
  <si>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</si>
  <si>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</si>
  <si>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</si>
  <si>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</si>
  <si>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</si>
  <si>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</si>
  <si>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</si>
  <si>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</si>
  <si>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</si>
  <si>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</si>
  <si>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</si>
  <si>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</si>
  <si>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</si>
  <si>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</si>
  <si>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</si>
  <si>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</si>
  <si>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</si>
  <si>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</si>
  <si>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</si>
  <si>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</si>
  <si>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</si>
  <si>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</si>
  <si>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</si>
  <si>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</si>
  <si>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</si>
  <si>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</si>
  <si>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</si>
  <si>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</si>
  <si>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</si>
  <si>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</si>
  <si>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</si>
  <si>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</si>
  <si>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</si>
  <si>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</si>
  <si>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</si>
  <si>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</si>
  <si>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</si>
  <si>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</si>
  <si>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</si>
  <si>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</si>
  <si>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</si>
  <si>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</si>
  <si>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</si>
  <si>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</si>
  <si>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</si>
  <si>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</si>
  <si>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</si>
  <si>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</si>
  <si>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</si>
  <si>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</si>
  <si>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</si>
  <si>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</si>
  <si>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</si>
  <si>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</si>
  <si>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</si>
  <si>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</si>
  <si>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</si>
  <si>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</si>
  <si>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</si>
  <si>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</si>
  <si>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</si>
  <si>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</si>
  <si>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</si>
  <si>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</si>
  <si>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</si>
  <si>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</si>
  <si>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</si>
  <si>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</si>
  <si>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</si>
  <si>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</si>
  <si>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</si>
  <si>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</si>
  <si>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</si>
  <si>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</si>
  <si>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</si>
  <si>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</si>
  <si>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</si>
  <si>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</si>
  <si>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</si>
  <si>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</si>
  <si>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</si>
  <si>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</si>
  <si>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</si>
  <si>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</si>
  <si>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</si>
  <si>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</si>
  <si>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</si>
  <si>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</si>
  <si>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</si>
  <si>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</si>
  <si>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</si>
  <si>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</si>
  <si>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</si>
  <si>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</si>
  <si>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</si>
  <si>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</si>
  <si>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</si>
  <si>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</si>
  <si>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</si>
  <si>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</si>
  <si>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</si>
  <si>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</si>
  <si>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</si>
  <si>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</si>
  <si>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</si>
  <si>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</si>
  <si>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</si>
  <si>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</si>
  <si>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</si>
  <si>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</si>
  <si>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</si>
  <si>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</si>
  <si>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</si>
  <si>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</si>
  <si>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</si>
  <si>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</si>
  <si>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</si>
  <si>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</si>
  <si>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</si>
  <si>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</si>
  <si>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</si>
  <si>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</si>
  <si>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</si>
  <si>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</si>
  <si>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</si>
  <si>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</si>
  <si>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</si>
  <si>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</si>
  <si>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</si>
  <si>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</si>
  <si>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</si>
  <si>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</si>
  <si>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</si>
  <si>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</si>
  <si>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</si>
  <si>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</si>
  <si>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</si>
  <si>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</si>
  <si>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</si>
  <si>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</si>
  <si>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</si>
  <si>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</si>
  <si>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</si>
  <si>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</si>
  <si>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</si>
  <si>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</si>
  <si>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</si>
  <si>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</si>
  <si>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</si>
  <si>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</si>
  <si>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</si>
  <si>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</si>
  <si>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</si>
  <si>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</si>
  <si>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</si>
  <si>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</si>
  <si>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</si>
  <si>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</si>
  <si>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</si>
  <si>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</si>
  <si>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</si>
  <si>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</si>
  <si>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</si>
  <si>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</si>
  <si>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</si>
  <si>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</si>
  <si>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</si>
  <si>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</si>
  <si>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</si>
  <si>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</si>
  <si>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</si>
  <si>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</si>
  <si>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</si>
  <si>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</si>
  <si>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</si>
  <si>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</si>
  <si>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</si>
  <si>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</si>
  <si>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</si>
  <si>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</si>
  <si>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</si>
  <si>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</si>
  <si>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</si>
  <si>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</si>
  <si>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</si>
  <si>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</si>
  <si>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</si>
  <si>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</si>
  <si>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</si>
  <si>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</si>
  <si>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</si>
  <si>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</si>
  <si>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</si>
  <si>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</si>
  <si>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</si>
  <si>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</si>
  <si>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</si>
  <si>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</si>
  <si>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</si>
  <si>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</si>
  <si>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</si>
  <si>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</si>
  <si>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</si>
  <si>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</si>
  <si>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</si>
  <si>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</si>
  <si>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</si>
  <si>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</si>
  <si>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</si>
  <si>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</si>
  <si>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</si>
  <si>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</si>
  <si>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</si>
  <si>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</si>
  <si>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</si>
  <si>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</si>
  <si>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</si>
  <si>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</si>
  <si>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</si>
  <si>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</si>
  <si>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</si>
  <si>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</si>
  <si>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</si>
  <si>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</si>
  <si>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</si>
  <si>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</si>
  <si>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</si>
  <si>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</si>
  <si>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</si>
  <si>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</si>
  <si>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</si>
  <si>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</si>
  <si>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</si>
  <si>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</si>
  <si>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</si>
  <si>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</si>
  <si>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</si>
  <si>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</si>
  <si>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</si>
  <si>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</si>
  <si>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</si>
  <si>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</si>
  <si>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</si>
  <si>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</si>
  <si>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</si>
  <si>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</si>
  <si>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</si>
  <si>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</si>
  <si>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</si>
  <si>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</si>
  <si>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</si>
  <si>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</si>
  <si>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</si>
  <si>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</si>
  <si>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</si>
  <si>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</si>
  <si>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</si>
  <si>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</si>
  <si>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</si>
  <si>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</si>
  <si>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</si>
  <si>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</si>
  <si>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</si>
  <si>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</si>
  <si>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</si>
  <si>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</si>
  <si>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</si>
  <si>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</si>
  <si>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</si>
  <si>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</si>
  <si>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</si>
  <si>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</si>
  <si>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</si>
  <si>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</si>
  <si>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</si>
  <si>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</si>
  <si>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</si>
  <si>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</si>
  <si>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</si>
  <si>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</si>
  <si>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</si>
  <si>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</si>
  <si>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</si>
  <si>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</si>
  <si>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</si>
  <si>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</si>
  <si>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</si>
  <si>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</si>
  <si>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</si>
  <si>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</si>
  <si>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</si>
  <si>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</si>
  <si>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</si>
  <si>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</si>
  <si>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</si>
  <si>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</si>
  <si>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</si>
  <si>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</si>
  <si>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</si>
  <si>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</si>
  <si>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</si>
  <si>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</si>
  <si>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</si>
  <si>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</si>
  <si>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</si>
  <si>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</si>
  <si>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</si>
  <si>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</si>
  <si>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</si>
  <si>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</si>
  <si>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</si>
  <si>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</si>
  <si>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</si>
  <si>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</si>
  <si>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</si>
  <si>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</si>
  <si>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</si>
  <si>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</si>
  <si>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</si>
  <si>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</si>
  <si>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</si>
  <si>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</si>
  <si>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</si>
  <si>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</si>
  <si>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</si>
  <si>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</si>
  <si>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</si>
  <si>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</si>
  <si>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</si>
  <si>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</si>
  <si>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</si>
  <si>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</si>
  <si>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</si>
  <si>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</si>
  <si>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</si>
  <si>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</si>
  <si>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</si>
  <si>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</si>
  <si>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</si>
  <si>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</si>
  <si>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</si>
  <si>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</si>
  <si>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</si>
  <si>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</si>
  <si>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</si>
  <si>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</si>
  <si>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</si>
  <si>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</si>
  <si>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</si>
  <si>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</si>
  <si>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</si>
  <si>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</si>
  <si>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</si>
  <si>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</si>
  <si>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</si>
  <si>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</si>
  <si>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</si>
  <si>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</si>
  <si>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</si>
  <si>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</si>
  <si>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</si>
  <si>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</si>
  <si>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</si>
  <si>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</si>
  <si>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</si>
  <si>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</si>
  <si>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</si>
  <si>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</si>
  <si>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</si>
  <si>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</si>
  <si>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</si>
  <si>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</si>
  <si>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</si>
  <si>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</si>
  <si>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</si>
  <si>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</si>
  <si>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</si>
  <si>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</si>
  <si>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</si>
  <si>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</si>
  <si>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</si>
  <si>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</si>
  <si>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</si>
  <si>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</si>
  <si>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</si>
  <si>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</si>
  <si>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</si>
  <si>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</si>
  <si>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</si>
  <si>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</si>
  <si>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</si>
  <si>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</si>
  <si>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</si>
  <si>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</si>
  <si>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</si>
  <si>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</si>
  <si>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</si>
  <si>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</si>
  <si>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</si>
  <si>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</si>
  <si>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</si>
  <si>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</si>
  <si>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</si>
  <si>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</si>
  <si>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</si>
  <si>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</si>
  <si>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</si>
  <si>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</si>
  <si>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</si>
  <si>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</si>
  <si>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</si>
  <si>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</si>
  <si>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</si>
  <si>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</si>
  <si>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</si>
  <si>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</si>
  <si>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</si>
  <si>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</si>
  <si>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</si>
  <si>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</si>
  <si>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</si>
  <si>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</si>
  <si>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</si>
  <si>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</si>
  <si>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</si>
  <si>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</si>
  <si>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</si>
  <si>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</si>
  <si>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</si>
  <si>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</si>
  <si>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</si>
  <si>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</si>
  <si>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</si>
  <si>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</si>
  <si>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</si>
  <si>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</si>
  <si>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</si>
  <si>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</si>
  <si>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</si>
  <si>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</si>
  <si>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</si>
  <si>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</si>
  <si>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</si>
  <si>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</si>
  <si>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</si>
  <si>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</si>
  <si>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</si>
  <si>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</si>
  <si>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</si>
  <si>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</si>
  <si>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</si>
  <si>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</si>
  <si>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</si>
  <si>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</si>
  <si>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</si>
  <si>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</si>
  <si>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</si>
  <si>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</si>
  <si>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</si>
  <si>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</si>
  <si>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</si>
  <si>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</si>
  <si>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</si>
  <si>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</si>
  <si>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</si>
  <si>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</si>
  <si>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</si>
  <si>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</si>
  <si>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</si>
  <si>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</si>
  <si>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</si>
  <si>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</si>
  <si>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</si>
  <si>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</si>
  <si>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</si>
  <si>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</si>
  <si>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</si>
  <si>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</si>
  <si>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</si>
  <si>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</si>
  <si>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</si>
  <si>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</si>
  <si>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</si>
  <si>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</si>
  <si>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</si>
  <si>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</si>
  <si>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</si>
  <si>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</si>
  <si>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</si>
  <si>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</si>
  <si>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</si>
  <si>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</si>
  <si>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</si>
  <si>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</si>
  <si>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</si>
  <si>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</si>
  <si>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</si>
  <si>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</si>
  <si>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</si>
  <si>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</si>
  <si>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</si>
  <si>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</si>
  <si>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</si>
  <si>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</si>
  <si>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</si>
  <si>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</si>
  <si>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</si>
  <si>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</si>
  <si>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</si>
  <si>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</si>
  <si>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</si>
  <si>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</si>
  <si>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</si>
  <si>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</si>
  <si>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</si>
  <si>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</si>
  <si>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</si>
  <si>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</si>
  <si>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</si>
  <si>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</si>
  <si>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</si>
  <si>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</si>
  <si>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</si>
  <si>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</si>
  <si>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</si>
  <si>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</si>
  <si>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</si>
  <si>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</si>
  <si>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</si>
  <si>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</si>
  <si>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</si>
  <si>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</si>
  <si>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</si>
  <si>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</si>
  <si>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</si>
  <si>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</si>
  <si>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</si>
  <si>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</si>
  <si>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</si>
  <si>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</si>
  <si>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</si>
  <si>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</si>
  <si>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</si>
  <si>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</si>
  <si>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</si>
  <si>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</si>
  <si>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</si>
  <si>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</si>
  <si>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</si>
  <si>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</si>
  <si>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</si>
  <si>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</si>
  <si>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</si>
  <si>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</si>
  <si>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</si>
  <si>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</si>
  <si>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</si>
  <si>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</si>
  <si>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</si>
  <si>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</si>
  <si>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</si>
  <si>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</si>
  <si>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</si>
  <si>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</si>
  <si>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</si>
  <si>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</si>
  <si>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</si>
  <si>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</si>
  <si>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</si>
  <si>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</si>
  <si>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</si>
  <si>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</si>
  <si>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</si>
  <si>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</si>
  <si>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</si>
  <si>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</si>
  <si>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</si>
  <si>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</si>
  <si>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</si>
  <si>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</si>
  <si>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</si>
  <si>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</si>
  <si>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</si>
  <si>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</si>
  <si>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</si>
  <si>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</si>
  <si>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</si>
  <si>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</si>
  <si>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</si>
  <si>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</si>
  <si>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</si>
  <si>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</si>
  <si>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</si>
  <si>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</si>
  <si>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</si>
  <si>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</si>
  <si>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</si>
  <si>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</si>
  <si>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</si>
  <si>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</si>
  <si>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</si>
  <si>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</si>
  <si>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</si>
  <si>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</si>
  <si>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</si>
  <si>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</si>
  <si>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</si>
  <si>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</si>
  <si>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</si>
  <si>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</si>
  <si>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</si>
  <si>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</si>
  <si>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</si>
  <si>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</si>
  <si>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</si>
  <si>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</si>
  <si>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</si>
  <si>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</si>
  <si>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</si>
  <si>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</si>
  <si>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</si>
  <si>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</si>
  <si>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</si>
  <si>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</si>
  <si>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</si>
  <si>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</si>
  <si>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</si>
  <si>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</si>
  <si>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</si>
  <si>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</si>
  <si>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</si>
  <si>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</si>
  <si>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</si>
  <si>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</si>
  <si>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</si>
  <si>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</si>
  <si>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</si>
  <si>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</si>
  <si>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</si>
  <si>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</si>
  <si>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</si>
  <si>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</si>
  <si>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</si>
  <si>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</si>
  <si>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</si>
  <si>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</si>
  <si>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</si>
  <si>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</si>
  <si>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</si>
  <si>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</si>
  <si>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</si>
  <si>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</si>
  <si>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</si>
  <si>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</si>
  <si>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</si>
  <si>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</si>
  <si>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</si>
  <si>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</si>
  <si>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</si>
  <si>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</si>
  <si>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</si>
  <si>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</si>
  <si>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</si>
  <si>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</si>
  <si>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</si>
  <si>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</si>
  <si>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</si>
  <si>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</si>
  <si>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</si>
  <si>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</si>
  <si>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</si>
  <si>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</si>
  <si>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</si>
  <si>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</si>
  <si>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</si>
  <si>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</si>
  <si>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</si>
  <si>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</si>
  <si>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</si>
  <si>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</si>
  <si>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</si>
  <si>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</si>
  <si>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</si>
  <si>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</si>
  <si>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</si>
  <si>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</si>
  <si>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</si>
  <si>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</si>
  <si>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</si>
  <si>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</si>
  <si>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</si>
  <si>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</si>
  <si>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</si>
  <si>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</si>
  <si>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</si>
  <si>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</si>
  <si>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</si>
  <si>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</si>
  <si>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</si>
  <si>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</si>
  <si>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</si>
  <si>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</si>
  <si>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</si>
  <si>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</si>
  <si>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</si>
  <si>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</si>
  <si>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</si>
  <si>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</si>
  <si>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</si>
  <si>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</si>
  <si>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</si>
  <si>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</si>
  <si>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</si>
  <si>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</si>
  <si>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</si>
  <si>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</si>
  <si>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</si>
  <si>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</si>
  <si>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</si>
  <si>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</si>
  <si>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</si>
  <si>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</si>
  <si>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</si>
  <si>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</si>
  <si>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</si>
  <si>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</si>
  <si>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</si>
  <si>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</si>
  <si>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</si>
  <si>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</si>
  <si>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</si>
  <si>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</si>
  <si>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</si>
  <si>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</si>
  <si>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</si>
  <si>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</si>
  <si>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</si>
  <si>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</si>
  <si>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</si>
  <si>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</si>
  <si>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</si>
  <si>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</si>
  <si>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</si>
  <si>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</si>
  <si>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</si>
  <si>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</si>
  <si>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</si>
  <si>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</si>
  <si>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</si>
  <si>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</si>
  <si>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</si>
  <si>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</si>
  <si>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</si>
  <si>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</si>
  <si>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</si>
  <si>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</si>
  <si>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</si>
  <si>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</si>
  <si>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</si>
  <si>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</si>
  <si>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</si>
  <si>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</si>
  <si>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</si>
  <si>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</si>
  <si>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</si>
  <si>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</si>
  <si>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</si>
  <si>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</si>
  <si>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</si>
  <si>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</si>
  <si>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</si>
  <si>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Total_Revenue</t>
  </si>
  <si>
    <t>Month</t>
  </si>
  <si>
    <t>Row Labels</t>
  </si>
  <si>
    <t>Grand Total</t>
  </si>
  <si>
    <t>Sum of Total_Revenue</t>
  </si>
  <si>
    <t>January</t>
  </si>
  <si>
    <t>February</t>
  </si>
  <si>
    <t>March</t>
  </si>
  <si>
    <t>April</t>
  </si>
  <si>
    <t>May</t>
  </si>
  <si>
    <t>June</t>
  </si>
  <si>
    <t>Sum of Quantity</t>
  </si>
  <si>
    <t>E-commerce Product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</si>
</sst>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26"/>
      <color theme="1"/>
      <name val="Calibri"/>
      <family val="2"/>
      <scheme val="minor"/>
    </font>
    <font>
      <b/>
      <sz val="26"/>
      <color theme="4" tint="-0.499984740745262"/>
      <name val="Bernard MT Condensed"/>
      <family val="1"/>
    </font>
    <font>
      <b/>
      <sz val="22"/>
      <color rgb="FFC00000"/>
      <name val="Calibri"/>
      <family val="2"/>
      <scheme val="minor"/>
    </font>
    <font>
      <b/>
      <sz val="24"/>
      <color rgb="FFC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33" borderId="0" xfId="38" applyFill="1"/>
    <xf numFmtId="0" fontId="1" fillId="34" borderId="0" xfId="38" applyFill="1"/>
    <xf numFmtId="0" fontId="19" fillId="34" borderId="0" xfId="0" applyFont="1" applyFill="1" applyAlignment="1">
      <alignment horizontal="left" vertical="center" indent="3"/>
    </xf>
    <xf numFmtId="0" fontId="18" fillId="34" borderId="0" xfId="0" applyFont="1" applyFill="1" applyAlignment="1">
      <alignment horizontal="left" vertical="center" indent="3"/>
    </xf>
    <xf numFmtId="44" fontId="20" fillId="34" borderId="0" xfId="1" applyFont="1" applyFill="1" applyAlignment="1">
      <alignment horizontal="center"/>
    </xf>
    <xf numFmtId="0" fontId="21" fillId="34" borderId="0" xfId="0" applyFont="1" applyFill="1" applyAlignment="1">
      <alignment horizontal="center"/>
    </xf>
    <xf numFmtId="44" fontId="21" fillId="34" borderId="0" xfId="1" applyNumberFormat="1" applyFont="1" applyFill="1" applyAlignment="1">
      <alignment horizontal="righ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[E-commerce_Sales_Analysis.xlsx]Analysis!PivotTable1</c:name>
    <c:fmtId val="8"/>
  </c:pivotSource>
  <c:chart>
    <c:title>
      <c:tx>
        <c:rich>
          <a:bodyPr rot="0" spcFirstLastPara="1" vertOverflow="ellipsis" vert="horz" wrap="square" anchor="ctr" anchorCtr="1"/>
          <a:lstStyle/>
          <a:p>
            <a:pPr>
              <a:defRPr sz="1400" b="1" i="0" u="sng" strike="noStrike" kern="1200" spc="0" baseline="0">
                <a:solidFill>
                  <a:schemeClr val="dk1"/>
                </a:solidFill>
                <a:latin typeface="+mn-lt"/>
                <a:ea typeface="+mn-ea"/>
                <a:cs typeface="+mn-cs"/>
              </a:defRPr>
            </a:pPr>
            <a:r>
              <a:rPr lang="en-US" b="1" u="sng"/>
              <a:t>Revenue Contribution by Category</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s>
    <c:plotArea>
      <c:layout/>
      <c:pieChart>
        <c:varyColors val="1"/>
        <c:ser>
          <c:idx val="0"/>
          <c:order val="0"/>
          <c:tx>
            <c:strRef>
              <c:f>Analysis!$B$1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5ED-4EBF-991E-A7344C3BD73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5ED-4EBF-991E-A7344C3BD73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5ED-4EBF-991E-A7344C3BD73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E5ED-4EBF-991E-A7344C3BD73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E5ED-4EBF-991E-A7344C3BD739}"/>
              </c:ext>
            </c:extLst>
          </c:dPt>
          <c:cat>
            <c:strRef>
              <c:f>Analysis!$A$2:$A$7</c:f>
              <c:strCache>
                <c:ptCount val="5"/>
                <c:pt idx="0">
                  <c:v>Accessories</c:v>
                </c:pt>
                <c:pt idx="1">
                  <c:v>Books</c:v>
                </c:pt>
                <c:pt idx="2">
                  <c:v>Electronics</c:v>
                </c:pt>
                <c:pt idx="3">
                  <c:v>Fashion</c:v>
                </c:pt>
                <c:pt idx="4">
                  <c:v>Home Appliances</c:v>
                </c:pt>
              </c:strCache>
            </c:strRef>
          </c:cat>
          <c:val>
            <c:numRef>
              <c:f>Analysis!$B$2:$B$7</c:f>
              <c:numCache>
                <c:formatCode>General</c:formatCode>
                <c:ptCount val="5"/>
                <c:pt idx="0">
                  <c:v>157789.82999999996</c:v>
                </c:pt>
                <c:pt idx="1">
                  <c:v>7698.1</c:v>
                </c:pt>
                <c:pt idx="2">
                  <c:v>2208307.5999999996</c:v>
                </c:pt>
                <c:pt idx="3">
                  <c:v>138585.42000000001</c:v>
                </c:pt>
                <c:pt idx="4">
                  <c:v>285863.08000000007</c:v>
                </c:pt>
              </c:numCache>
            </c:numRef>
          </c:val>
          <c:extLst>
            <c:ext xmlns:c16="http://schemas.microsoft.com/office/drawing/2014/chart" uri="{C3380CC4-5D6E-409C-BE32-E72D297353CC}">
              <c16:uniqueId val="{0000000A-E5ED-4EBF-991E-A7344C3BD73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8575"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[E-commerce_Sales_Analysis.xlsx]Analysis!PivotTable2</c:name>
    <c:fmtId val="7"/>
  </c:pivotSource>
  <c:chart>
    <c:title>
      <c:tx>
        <c:rich>
          <a:bodyPr rot="0" spcFirstLastPara="1" vertOverflow="ellipsis" vert="horz" wrap="square" anchor="ctr" anchorCtr="1"/>
          <a:lstStyle/>
          <a:p>
            <a:pPr>
              <a:defRPr sz="1400" b="1" i="0" u="sng" strike="noStrike" kern="1200" spc="0" baseline="0">
                <a:solidFill>
                  <a:schemeClr val="dk1"/>
                </a:solidFill>
                <a:latin typeface="+mn-lt"/>
                <a:ea typeface="+mn-ea"/>
                <a:cs typeface="+mn-cs"/>
              </a:defRPr>
            </a:pPr>
            <a:r>
              <a:rPr lang="en-US" b="1" u="sng"/>
              <a:t>Top Performing Cities by Sales</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Analysis!$F$1</c:f>
              <c:strCache>
                <c:ptCount val="1"/>
                <c:pt idx="0">
                  <c:v>Total</c:v>
                </c:pt>
              </c:strCache>
            </c:strRef>
          </c:tx>
          <c:spPr>
            <a:solidFill>
              <a:schemeClr val="accent1"/>
            </a:solidFill>
            <a:ln>
              <a:noFill/>
            </a:ln>
            <a:effectLst/>
          </c:spPr>
          <c:invertIfNegative val="0"/>
          <c:cat>
            <c:strRef>
              <c:f>Analysis!$E$2:$E$3</c:f>
              <c:strCache>
                <c:ptCount val="1"/>
                <c:pt idx="0">
                  <c:v>Surat</c:v>
                </c:pt>
              </c:strCache>
            </c:strRef>
          </c:cat>
          <c:val>
            <c:numRef>
              <c:f>Analysis!$F$2:$F$3</c:f>
              <c:numCache>
                <c:formatCode>General</c:formatCode>
                <c:ptCount val="1"/>
                <c:pt idx="0">
                  <c:v>2798244.0299999993</c:v>
                </c:pt>
              </c:numCache>
            </c:numRef>
          </c:val>
          <c:extLst>
            <c:ext xmlns:c16="http://schemas.microsoft.com/office/drawing/2014/chart" uri="{C3380CC4-5D6E-409C-BE32-E72D297353CC}">
              <c16:uniqueId val="{00000000-7DD5-4057-B4D7-251367F929DB}"/>
            </c:ext>
          </c:extLst>
        </c:ser>
        <c:dLbls>
          <c:showLegendKey val="0"/>
          <c:showVal val="0"/>
          <c:showCatName val="0"/>
          <c:showSerName val="0"/>
          <c:showPercent val="0"/>
          <c:showBubbleSize val="0"/>
        </c:dLbls>
        <c:gapWidth val="182"/>
        <c:axId val="1665464223"/>
        <c:axId val="1665463807"/>
      </c:barChart>
      <c:catAx>
        <c:axId val="1665464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65463807"/>
        <c:crosses val="autoZero"/>
        <c:auto val="1"/>
        <c:lblAlgn val="ctr"/>
        <c:lblOffset val="100"/>
        <c:noMultiLvlLbl val="0"/>
      </c:catAx>
      <c:valAx>
        <c:axId val="1665463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65464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8575"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[E-commerce_Sales_Analysis.xlsx]Analysis!PivotTable3</c:name>
    <c:fmtId val="3"/>
  </c:pivotSource>
  <c:chart>
    <c:title>
      <c:tx>
        <c:rich>
          <a:bodyPr rot="0" spcFirstLastPara="1" vertOverflow="ellipsis" vert="horz" wrap="square" anchor="ctr" anchorCtr="1"/>
          <a:lstStyle/>
          <a:p>
            <a:pPr>
              <a:defRPr sz="1400" b="1" i="0" u="sng" strike="noStrike" kern="1200" spc="0" baseline="0">
                <a:solidFill>
                  <a:schemeClr val="dk1"/>
                </a:solidFill>
                <a:latin typeface="+mn-lt"/>
                <a:ea typeface="+mn-ea"/>
                <a:cs typeface="+mn-cs"/>
              </a:defRPr>
            </a:pPr>
            <a:r>
              <a:rPr lang="en-US" b="1" u="sng"/>
              <a:t>Monthly Revenue Trend</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Analysis!$J$1</c:f>
              <c:strCache>
                <c:ptCount val="1"/>
                <c:pt idx="0">
                  <c:v>Total</c:v>
                </c:pt>
              </c:strCache>
            </c:strRef>
          </c:tx>
          <c:spPr>
            <a:ln w="28575" cap="rnd">
              <a:solidFill>
                <a:schemeClr val="accent1">
                  <a:lumMod val="50000"/>
                </a:schemeClr>
              </a:solidFill>
              <a:round/>
            </a:ln>
            <a:effectLst/>
          </c:spPr>
          <c:marker>
            <c:symbol val="none"/>
          </c:marker>
          <c:cat>
            <c:strRef>
              <c:f>Analysis!$I$2:$I$8</c:f>
              <c:strCache>
                <c:ptCount val="6"/>
                <c:pt idx="0">
                  <c:v>January</c:v>
                </c:pt>
                <c:pt idx="1">
                  <c:v>February</c:v>
                </c:pt>
                <c:pt idx="2">
                  <c:v>March</c:v>
                </c:pt>
                <c:pt idx="3">
                  <c:v>April</c:v>
                </c:pt>
                <c:pt idx="4">
                  <c:v>May</c:v>
                </c:pt>
                <c:pt idx="5">
                  <c:v>June</c:v>
                </c:pt>
              </c:strCache>
            </c:strRef>
          </c:cat>
          <c:val>
            <c:numRef>
              <c:f>Analysis!$J$2:$J$8</c:f>
              <c:numCache>
                <c:formatCode>General</c:formatCode>
                <c:ptCount val="6"/>
                <c:pt idx="0">
                  <c:v>416690.74</c:v>
                </c:pt>
                <c:pt idx="1">
                  <c:v>566813.51999999979</c:v>
                </c:pt>
                <c:pt idx="2">
                  <c:v>663331.50000000012</c:v>
                </c:pt>
                <c:pt idx="3">
                  <c:v>262006.59</c:v>
                </c:pt>
                <c:pt idx="4">
                  <c:v>375102.75</c:v>
                </c:pt>
                <c:pt idx="5">
                  <c:v>514298.93</c:v>
                </c:pt>
              </c:numCache>
            </c:numRef>
          </c:val>
          <c:smooth val="0"/>
          <c:extLst>
            <c:ext xmlns:c16="http://schemas.microsoft.com/office/drawing/2014/chart" uri="{C3380CC4-5D6E-409C-BE32-E72D297353CC}">
              <c16:uniqueId val="{00000000-49A7-4286-9767-A301E8EDBF04}"/>
            </c:ext>
          </c:extLst>
        </c:ser>
        <c:dLbls>
          <c:showLegendKey val="0"/>
          <c:showVal val="0"/>
          <c:showCatName val="0"/>
          <c:showSerName val="0"/>
          <c:showPercent val="0"/>
          <c:showBubbleSize val="0"/>
        </c:dLbls>
        <c:smooth val="0"/>
        <c:axId val="1673720799"/>
        <c:axId val="1673718303"/>
      </c:lineChart>
      <c:catAx>
        <c:axId val="167372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73718303"/>
        <c:crosses val="autoZero"/>
        <c:auto val="1"/>
        <c:lblAlgn val="ctr"/>
        <c:lblOffset val="100"/>
        <c:noMultiLvlLbl val="0"/>
      </c:catAx>
      <c:valAx>
        <c:axId val="167371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7372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8575"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[E-commerce_Sales_Analysis.xlsx]Analysis!PivotTable4</c:name>
    <c:fmtId val="1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u="sng">
                <a:solidFill>
                  <a:schemeClr val="bg2">
                    <a:lumMod val="10000"/>
                  </a:schemeClr>
                </a:solidFill>
              </a:rPr>
              <a:t>Top 5 Best 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pPr>
            <a:solidFill>
              <a:schemeClr val="accent1"/>
            </a:solidFill>
            <a:ln w="9525">
              <a:solidFill>
                <a:schemeClr val="accent1"/>
              </a:solidFill>
            </a:ln>
            <a:effectLst/>
          </c:spPr>
        </c:marker>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pPr>
            <a:solidFill>
              <a:schemeClr val="accent1"/>
            </a:solidFill>
            <a:ln w="9525">
              <a:solidFill>
                <a:schemeClr val="accent1"/>
              </a:solidFill>
            </a:ln>
            <a:effectLst/>
          </c:spPr>
        </c:marker>
      </c:pivotFmt>
      <c:pivotFmt>
        <c:idx val="8"/>
        <c:spPr>
          <a:solidFill>
            <a:schemeClr val="accent1"/>
          </a:solidFill>
          <a:ln>
            <a:noFill/>
          </a:ln>
          <a:effectLst/>
        </c:spPr>
        <c:marker>
          <c:spPr>
            <a:solidFill>
              <a:schemeClr val="accent1"/>
            </a:solidFill>
            <a:ln w="9525">
              <a:solidFill>
                <a:schemeClr val="accent1"/>
              </a:solidFill>
            </a:ln>
            <a:effectLst/>
          </c:spPr>
        </c:marker>
      </c:pivotFmt>
      <c:pivotFmt>
        <c:idx val="9"/>
        <c:spPr>
          <a:solidFill>
            <a:schemeClr val="accent1"/>
          </a:solidFill>
          <a:ln>
            <a:noFill/>
          </a:ln>
          <a:effectLst/>
        </c:spPr>
        <c:marker>
          <c:spPr>
            <a:solidFill>
              <a:schemeClr val="accent1"/>
            </a:solidFill>
            <a:ln w="9525">
              <a:solidFill>
                <a:schemeClr val="accent1"/>
              </a:solidFill>
            </a:ln>
            <a:effectLst/>
          </c:spPr>
        </c:marker>
      </c:pivotFmt>
      <c:pivotFmt>
        <c:idx val="10"/>
        <c:spPr>
          <a:solidFill>
            <a:schemeClr val="accent1"/>
          </a:solidFill>
          <a:ln>
            <a:noFill/>
          </a:ln>
          <a:effectLst/>
        </c:spPr>
        <c:marker>
          <c:spPr>
            <a:solidFill>
              <a:schemeClr val="accent1"/>
            </a:solidFill>
            <a:ln w="9525">
              <a:solidFill>
                <a:schemeClr val="accent1"/>
              </a:solidFill>
            </a:ln>
            <a:effectLst/>
          </c:spPr>
        </c:marker>
      </c:pivotFmt>
      <c:pivotFmt>
        <c:idx val="11"/>
        <c:spPr>
          <a:solidFill>
            <a:schemeClr val="accent1"/>
          </a:solidFill>
          <a:ln>
            <a:noFill/>
          </a:ln>
          <a:effectLst/>
        </c:spPr>
        <c:marker>
          <c:spPr>
            <a:solidFill>
              <a:schemeClr val="accent1"/>
            </a:solidFill>
            <a:ln w="9525">
              <a:solidFill>
                <a:schemeClr val="accent1"/>
              </a:solidFill>
            </a:ln>
            <a:effectLst/>
          </c:spPr>
        </c:marker>
      </c:pivotFmt>
      <c:pivotFmt>
        <c:idx val="12"/>
        <c:spPr>
          <a:solidFill>
            <a:schemeClr val="accent1"/>
          </a:solidFill>
          <a:ln>
            <a:noFill/>
          </a:ln>
          <a:effectLst/>
        </c:spPr>
        <c:marker>
          <c:spPr>
            <a:solidFill>
              <a:schemeClr val="accent1"/>
            </a:solidFill>
            <a:ln w="9525">
              <a:solidFill>
                <a:schemeClr val="accent1"/>
              </a:solidFill>
            </a:ln>
            <a:effectLst/>
          </c:spPr>
        </c:marker>
      </c:pivotFmt>
      <c:pivotFmt>
        <c:idx val="13"/>
        <c:spPr>
          <a:solidFill>
            <a:schemeClr val="accent1"/>
          </a:solidFill>
          <a:ln>
            <a:noFill/>
          </a:ln>
          <a:effectLst/>
        </c:spPr>
        <c:marker>
          <c:spPr>
            <a:solidFill>
              <a:schemeClr val="accent1"/>
            </a:solidFill>
            <a:ln w="9525">
              <a:solidFill>
                <a:schemeClr val="accent1"/>
              </a:solidFill>
            </a:ln>
            <a:effectLst/>
          </c:spPr>
        </c:marker>
      </c:pivotFmt>
      <c:pivotFmt>
        <c:idx val="14"/>
        <c:spPr>
          <a:solidFill>
            <a:schemeClr val="accent1"/>
          </a:solidFill>
          <a:ln>
            <a:noFill/>
          </a:ln>
          <a:effectLst/>
        </c:spPr>
        <c:marker>
          <c:spPr>
            <a:solidFill>
              <a:schemeClr val="accent1"/>
            </a:solidFill>
            <a:ln w="9525">
              <a:solidFill>
                <a:schemeClr val="accent1"/>
              </a:solidFill>
            </a:ln>
            <a:effectLst/>
          </c:spPr>
        </c:marker>
      </c:pivotFmt>
      <c:pivotFmt>
        <c:idx val="15"/>
        <c:spPr>
          <a:solidFill>
            <a:schemeClr val="accent1"/>
          </a:solidFill>
          <a:ln>
            <a:noFill/>
          </a:ln>
          <a:effectLst/>
        </c:spPr>
        <c:marker>
          <c:spPr>
            <a:solidFill>
              <a:schemeClr val="accent1"/>
            </a:solidFill>
            <a:ln w="9525">
              <a:solidFill>
                <a:schemeClr val="accent1"/>
              </a:solidFill>
            </a:ln>
            <a:effectLst/>
          </c:spPr>
        </c:marker>
      </c:pivotFmt>
      <c:pivotFmt>
        <c:idx val="16"/>
        <c:spPr>
          <a:solidFill>
            <a:schemeClr val="accent1"/>
          </a:solidFill>
          <a:ln>
            <a:noFill/>
          </a:ln>
          <a:effectLst/>
        </c:spPr>
        <c:marker>
          <c:spPr>
            <a:solidFill>
              <a:schemeClr val="accent1"/>
            </a:solidFill>
            <a:ln w="9525">
              <a:solidFill>
                <a:schemeClr val="accent1"/>
              </a:solidFill>
            </a:ln>
            <a:effectLst/>
          </c:spPr>
        </c:marker>
      </c:pivotFmt>
    </c:pivotFmts>
    <c:plotArea>
      <c:layout/>
      <c:barChart>
        <c:barDir val="col"/>
        <c:grouping val="clustered"/>
        <c:varyColors val="0"/>
        <c:ser>
          <c:idx val="0"/>
          <c:order val="0"/>
          <c:tx>
            <c:strRef>
              <c:f>Analysis!$N$1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Analysis!$M$2:$M$16</c:f>
              <c:strCache>
                <c:ptCount val="14"/>
                <c:pt idx="0">
                  <c:v>Air Fryer</c:v>
                </c:pt>
                <c:pt idx="1">
                  <c:v>Backpack</c:v>
                </c:pt>
                <c:pt idx="2">
                  <c:v>Book</c:v>
                </c:pt>
                <c:pt idx="3">
                  <c:v>Coffee Maker</c:v>
                </c:pt>
                <c:pt idx="4">
                  <c:v>Headphones</c:v>
                </c:pt>
                <c:pt idx="5">
                  <c:v>Jeans</c:v>
                </c:pt>
                <c:pt idx="6">
                  <c:v>Keyboard</c:v>
                </c:pt>
                <c:pt idx="7">
                  <c:v>Laptop</c:v>
                </c:pt>
                <c:pt idx="8">
                  <c:v>Mixer</c:v>
                </c:pt>
                <c:pt idx="9">
                  <c:v>Shoes</c:v>
                </c:pt>
                <c:pt idx="10">
                  <c:v>Smartphone</c:v>
                </c:pt>
                <c:pt idx="11">
                  <c:v>Tablet</c:v>
                </c:pt>
                <c:pt idx="12">
                  <c:v>T-Shirt</c:v>
                </c:pt>
                <c:pt idx="13">
                  <c:v>Watch</c:v>
                </c:pt>
              </c:strCache>
            </c:strRef>
          </c:cat>
          <c:val>
            <c:numRef>
              <c:f>Analysis!$N$2:$N$16</c:f>
              <c:numCache>
                <c:formatCode>General</c:formatCode>
                <c:ptCount val="14"/>
                <c:pt idx="0">
                  <c:v>22</c:v>
                </c:pt>
                <c:pt idx="1">
                  <c:v>25</c:v>
                </c:pt>
                <c:pt idx="2">
                  <c:v>17</c:v>
                </c:pt>
                <c:pt idx="3">
                  <c:v>10</c:v>
                </c:pt>
                <c:pt idx="4">
                  <c:v>15</c:v>
                </c:pt>
                <c:pt idx="5">
                  <c:v>29</c:v>
                </c:pt>
                <c:pt idx="6">
                  <c:v>43</c:v>
                </c:pt>
                <c:pt idx="7">
                  <c:v>18</c:v>
                </c:pt>
                <c:pt idx="8">
                  <c:v>30</c:v>
                </c:pt>
                <c:pt idx="9">
                  <c:v>22</c:v>
                </c:pt>
                <c:pt idx="10">
                  <c:v>23</c:v>
                </c:pt>
                <c:pt idx="11">
                  <c:v>25</c:v>
                </c:pt>
                <c:pt idx="12">
                  <c:v>32</c:v>
                </c:pt>
                <c:pt idx="13">
                  <c:v>23</c:v>
                </c:pt>
              </c:numCache>
            </c:numRef>
          </c:val>
          <c:extLst>
            <c:ext xmlns:c16="http://schemas.microsoft.com/office/drawing/2014/chart" uri="{C3380CC4-5D6E-409C-BE32-E72D297353CC}">
              <c16:uniqueId val="{00000000-A24E-41FD-A98C-B39B8FB0E605}"/>
            </c:ext>
          </c:extLst>
        </c:ser>
        <c:dLbls>
          <c:dLblPos val="outEnd"/>
          <c:showLegendKey val="0"/>
          <c:showVal val="1"/>
          <c:showCatName val="0"/>
          <c:showSerName val="0"/>
          <c:showPercent val="0"/>
          <c:showBubbleSize val="0"/>
        </c:dLbls>
        <c:gapWidth val="219"/>
        <c:overlap val="-27"/>
        <c:axId val="1559314927"/>
        <c:axId val="1559307439"/>
      </c:barChart>
      <c:catAx>
        <c:axId val="1559314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59307439"/>
        <c:crosses val="autoZero"/>
        <c:auto val="1"/>
        <c:lblAlgn val="ctr"/>
        <c:lblOffset val="100"/>
        <c:noMultiLvlLbl val="0"/>
      </c:catAx>
      <c:valAx>
        <c:axId val="155930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59314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8575"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195942</xdr:colOff>
      <xdr:row>12</xdr:row>
      <xdr:rowOff>97972</xdr:rowOff>
    </xdr:from>
    <xdr:to>
      <xdr:col>18</xdr:col>
      <xdr:colOff>1654628</xdr:colOff>
      <xdr:row>14</xdr:row>
      <xdr:rowOff>174171</xdr:rowOff>
    </xdr:to>
    <xdr:sp macro="" textlink="">
      <xdr:nvSpPr>
        <xdr:cNvPr id="11" name="TextBox 10">
          <a:extLst>
            <a:ext uri="{FF2B5EF4-FFF2-40B4-BE49-F238E27FC236}">
              <a16:creationId xmlns:a16="http://schemas.microsoft.com/office/drawing/2014/main" id="{2F117A63-AE21-4D25-9770-3C0A1F173D63}"/>
            </a:ext>
          </a:extLst>
        </xdr:cNvPr>
        <xdr:cNvSpPr txBox="1"/>
      </xdr:nvSpPr>
      <xdr:spPr>
        <a:xfrm>
          <a:off x="10080171" y="2558143"/>
          <a:ext cx="2068286" cy="446314"/>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2060"/>
              </a:solidFill>
              <a:latin typeface="Lucida Sans" panose="020B0602030504020204" pitchFamily="34" charset="0"/>
            </a:rPr>
            <a:t>Total</a:t>
          </a:r>
          <a:r>
            <a:rPr lang="en-US" sz="2000" b="1" baseline="0">
              <a:solidFill>
                <a:srgbClr val="002060"/>
              </a:solidFill>
              <a:latin typeface="Lucida Sans" panose="020B0602030504020204" pitchFamily="34" charset="0"/>
            </a:rPr>
            <a:t> Revenue</a:t>
          </a:r>
          <a:endParaRPr lang="en-US" sz="2000" b="1">
            <a:solidFill>
              <a:srgbClr val="002060"/>
            </a:solidFill>
            <a:latin typeface="Lucida Sans" panose="020B0602030504020204" pitchFamily="34" charset="0"/>
          </a:endParaRPr>
        </a:p>
      </xdr:txBody>
    </xdr:sp>
    <xdr:clientData/>
  </xdr:twoCellAnchor>
  <xdr:twoCellAnchor>
    <xdr:from>
      <xdr:col>1</xdr:col>
      <xdr:colOff>408214</xdr:colOff>
      <xdr:row>10</xdr:row>
      <xdr:rowOff>160019</xdr:rowOff>
    </xdr:from>
    <xdr:to>
      <xdr:col>8</xdr:col>
      <xdr:colOff>380999</xdr:colOff>
      <xdr:row>24</xdr:row>
      <xdr:rowOff>163284</xdr:rowOff>
    </xdr:to>
    <xdr:graphicFrame macro="">
      <xdr:nvGraphicFramePr>
        <xdr:cNvPr id="2" name="Chart 1">
          <a:extLst>
            <a:ext uri="{FF2B5EF4-FFF2-40B4-BE49-F238E27FC236}">
              <a16:creationId xmlns:a16="http://schemas.microsoft.com/office/drawing/2014/main" id="{882F56C2-5147-49AF-B6B8-B9FF9ADFE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338546</xdr:colOff>
      <xdr:row>10</xdr:row>
      <xdr:rowOff>178525</xdr:rowOff>
    </xdr:from>
    <xdr:to>
      <xdr:col>16</xdr:col>
      <xdr:colOff>361406</xdr:colOff>
      <xdr:row>24</xdr:row>
      <xdr:rowOff>170905</xdr:rowOff>
    </xdr:to>
    <xdr:graphicFrame macro="">
      <xdr:nvGraphicFramePr>
        <xdr:cNvPr id="3" name="Chart 2">
          <a:extLst>
            <a:ext uri="{FF2B5EF4-FFF2-40B4-BE49-F238E27FC236}">
              <a16:creationId xmlns:a16="http://schemas.microsoft.com/office/drawing/2014/main" id="{0FDA5005-A1F5-4EC4-8647-FAA9AE06C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342900</xdr:colOff>
      <xdr:row>27</xdr:row>
      <xdr:rowOff>43542</xdr:rowOff>
    </xdr:from>
    <xdr:to>
      <xdr:col>8</xdr:col>
      <xdr:colOff>381000</xdr:colOff>
      <xdr:row>41</xdr:row>
      <xdr:rowOff>58782</xdr:rowOff>
    </xdr:to>
    <xdr:graphicFrame macro="">
      <xdr:nvGraphicFramePr>
        <xdr:cNvPr id="4" name="Chart 3">
          <a:extLst>
            <a:ext uri="{FF2B5EF4-FFF2-40B4-BE49-F238E27FC236}">
              <a16:creationId xmlns:a16="http://schemas.microsoft.com/office/drawing/2014/main" id="{4E81F6D4-7895-42B5-BAA4-6BF4F632F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335280</xdr:colOff>
      <xdr:row>27</xdr:row>
      <xdr:rowOff>55517</xdr:rowOff>
    </xdr:from>
    <xdr:to>
      <xdr:col>16</xdr:col>
      <xdr:colOff>358140</xdr:colOff>
      <xdr:row>41</xdr:row>
      <xdr:rowOff>40277</xdr:rowOff>
    </xdr:to>
    <xdr:graphicFrame macro="">
      <xdr:nvGraphicFramePr>
        <xdr:cNvPr id="5" name="Chart 4">
          <a:extLst>
            <a:ext uri="{FF2B5EF4-FFF2-40B4-BE49-F238E27FC236}">
              <a16:creationId xmlns:a16="http://schemas.microsoft.com/office/drawing/2014/main" id="{9A0D1C37-8CB7-49F0-A83B-E9D43072D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94707</xdr:colOff>
      <xdr:row>4</xdr:row>
      <xdr:rowOff>127363</xdr:rowOff>
    </xdr:from>
    <xdr:to>
      <xdr:col>12</xdr:col>
      <xdr:colOff>206829</xdr:colOff>
      <xdr:row>9</xdr:row>
      <xdr:rowOff>119742</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4D22D543-1060-41AA-AE17-6877E2F9551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82936" y="1107077"/>
              <a:ext cx="3160122" cy="917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394063</xdr:colOff>
      <xdr:row>4</xdr:row>
      <xdr:rowOff>32656</xdr:rowOff>
    </xdr:from>
    <xdr:to>
      <xdr:col>18</xdr:col>
      <xdr:colOff>1513115</xdr:colOff>
      <xdr:row>10</xdr:row>
      <xdr:rowOff>65314</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7E527112-B500-4322-983C-29DD5F6EBEE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230292" y="1012370"/>
              <a:ext cx="4776652" cy="1143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434339</xdr:colOff>
      <xdr:row>4</xdr:row>
      <xdr:rowOff>87087</xdr:rowOff>
    </xdr:from>
    <xdr:to>
      <xdr:col>6</xdr:col>
      <xdr:colOff>522513</xdr:colOff>
      <xdr:row>9</xdr:row>
      <xdr:rowOff>119744</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D7ED430B-9FEA-4EF8-BC41-AF97D1F3913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64968" y="1066801"/>
              <a:ext cx="3136174" cy="957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21771</xdr:colOff>
      <xdr:row>19</xdr:row>
      <xdr:rowOff>54428</xdr:rowOff>
    </xdr:from>
    <xdr:to>
      <xdr:col>19</xdr:col>
      <xdr:colOff>0</xdr:colOff>
      <xdr:row>21</xdr:row>
      <xdr:rowOff>43544</xdr:rowOff>
    </xdr:to>
    <xdr:sp macro="" textlink="">
      <xdr:nvSpPr>
        <xdr:cNvPr id="12" name="TextBox 11">
          <a:extLst>
            <a:ext uri="{FF2B5EF4-FFF2-40B4-BE49-F238E27FC236}">
              <a16:creationId xmlns:a16="http://schemas.microsoft.com/office/drawing/2014/main" id="{04AC5C13-383D-4ADD-BBDF-B12931EE33A7}"/>
            </a:ext>
          </a:extLst>
        </xdr:cNvPr>
        <xdr:cNvSpPr txBox="1"/>
      </xdr:nvSpPr>
      <xdr:spPr>
        <a:xfrm>
          <a:off x="9906000" y="3940628"/>
          <a:ext cx="2340429" cy="35923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2060"/>
              </a:solidFill>
              <a:latin typeface="Lucida Sans" panose="020B0602030504020204" pitchFamily="34" charset="0"/>
            </a:rPr>
            <a:t>Total Orders </a:t>
          </a:r>
        </a:p>
      </xdr:txBody>
    </xdr:sp>
    <xdr:clientData/>
  </xdr:twoCellAnchor>
  <xdr:twoCellAnchor>
    <xdr:from>
      <xdr:col>17</xdr:col>
      <xdr:colOff>141513</xdr:colOff>
      <xdr:row>24</xdr:row>
      <xdr:rowOff>174172</xdr:rowOff>
    </xdr:from>
    <xdr:to>
      <xdr:col>18</xdr:col>
      <xdr:colOff>1654627</xdr:colOff>
      <xdr:row>28</xdr:row>
      <xdr:rowOff>43543</xdr:rowOff>
    </xdr:to>
    <xdr:sp macro="" textlink="">
      <xdr:nvSpPr>
        <xdr:cNvPr id="13" name="TextBox 12">
          <a:extLst>
            <a:ext uri="{FF2B5EF4-FFF2-40B4-BE49-F238E27FC236}">
              <a16:creationId xmlns:a16="http://schemas.microsoft.com/office/drawing/2014/main" id="{5A71A022-D42D-4712-B2F2-CDAFC97B2962}"/>
            </a:ext>
          </a:extLst>
        </xdr:cNvPr>
        <xdr:cNvSpPr txBox="1"/>
      </xdr:nvSpPr>
      <xdr:spPr>
        <a:xfrm>
          <a:off x="10025742" y="4985658"/>
          <a:ext cx="2122714" cy="609599"/>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700" b="1">
              <a:solidFill>
                <a:srgbClr val="002060"/>
              </a:solidFill>
              <a:latin typeface="Lucida Sans" panose="020B0602030504020204" pitchFamily="34" charset="0"/>
            </a:rPr>
            <a:t>Average Order </a:t>
          </a:r>
        </a:p>
        <a:p>
          <a:pPr algn="ctr"/>
          <a:r>
            <a:rPr lang="en-US" sz="1700" b="1">
              <a:solidFill>
                <a:srgbClr val="002060"/>
              </a:solidFill>
              <a:latin typeface="Lucida Sans" panose="020B0602030504020204" pitchFamily="34" charset="0"/>
            </a:rPr>
            <a:t>Value</a:t>
          </a:r>
        </a:p>
      </xdr:txBody>
    </xdr:sp>
    <xdr:clientData/>
  </xdr:twoCellAnchor>
  <xdr:twoCellAnchor>
    <xdr:from>
      <xdr:col>17</xdr:col>
      <xdr:colOff>174172</xdr:colOff>
      <xdr:row>32</xdr:row>
      <xdr:rowOff>54428</xdr:rowOff>
    </xdr:from>
    <xdr:to>
      <xdr:col>18</xdr:col>
      <xdr:colOff>1709057</xdr:colOff>
      <xdr:row>36</xdr:row>
      <xdr:rowOff>97972</xdr:rowOff>
    </xdr:to>
    <xdr:sp macro="" textlink="">
      <xdr:nvSpPr>
        <xdr:cNvPr id="14" name="TextBox 13">
          <a:extLst>
            <a:ext uri="{FF2B5EF4-FFF2-40B4-BE49-F238E27FC236}">
              <a16:creationId xmlns:a16="http://schemas.microsoft.com/office/drawing/2014/main" id="{A2BAE2F9-F22E-4D52-BFAA-72D20F40DA6C}"/>
            </a:ext>
          </a:extLst>
        </xdr:cNvPr>
        <xdr:cNvSpPr txBox="1"/>
      </xdr:nvSpPr>
      <xdr:spPr>
        <a:xfrm>
          <a:off x="10058401" y="6346371"/>
          <a:ext cx="2144485" cy="783772"/>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900" b="1">
              <a:solidFill>
                <a:srgbClr val="002060"/>
              </a:solidFill>
              <a:latin typeface="Lucida Sans" panose="020B0602030504020204" pitchFamily="34" charset="0"/>
            </a:rPr>
            <a:t>Total Quantities Sold</a:t>
          </a:r>
        </a:p>
      </xdr:txBody>
    </xdr:sp>
    <xdr:clientData/>
  </xdr:twoCellAnchor>
  <xdr:twoCellAnchor>
    <xdr:from>
      <xdr:col>19</xdr:col>
      <xdr:colOff>566057</xdr:colOff>
      <xdr:row>4</xdr:row>
      <xdr:rowOff>174172</xdr:rowOff>
    </xdr:from>
    <xdr:to>
      <xdr:col>29</xdr:col>
      <xdr:colOff>87085</xdr:colOff>
      <xdr:row>32</xdr:row>
      <xdr:rowOff>163286</xdr:rowOff>
    </xdr:to>
    <xdr:sp macro="" textlink="">
      <xdr:nvSpPr>
        <xdr:cNvPr id="9" name="TextBox 8">
          <a:extLst>
            <a:ext uri="{FF2B5EF4-FFF2-40B4-BE49-F238E27FC236}">
              <a16:creationId xmlns:a16="http://schemas.microsoft.com/office/drawing/2014/main" id="{EE58E6E2-7EF6-4CC8-AA63-E7004D2553AD}"/>
            </a:ext>
          </a:extLst>
        </xdr:cNvPr>
        <xdr:cNvSpPr txBox="1"/>
      </xdr:nvSpPr>
      <xdr:spPr>
        <a:xfrm>
          <a:off x="12812486" y="1153886"/>
          <a:ext cx="5617028" cy="5301343"/>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endParaRPr lang="en-US" sz="1800" b="1" u="sng">
            <a:solidFill>
              <a:schemeClr val="accent1">
                <a:lumMod val="50000"/>
              </a:schemeClr>
            </a:solidFill>
            <a:latin typeface="Franklin Gothic Demi" panose="020B0703020102020204" pitchFamily="34" charset="0"/>
          </a:endParaRPr>
        </a:p>
        <a:p>
          <a:pPr algn="ctr"/>
          <a:r>
            <a:rPr lang="en-US" sz="1800" b="1" u="sng">
              <a:solidFill>
                <a:schemeClr val="accent1">
                  <a:lumMod val="50000"/>
                </a:schemeClr>
              </a:solidFill>
              <a:latin typeface="Franklin Gothic Demi" panose="020B0703020102020204" pitchFamily="34" charset="0"/>
            </a:rPr>
            <a:t>Core Business Insights</a:t>
          </a:r>
        </a:p>
        <a:p>
          <a:pPr algn="ctr"/>
          <a:endParaRPr lang="en-US" sz="1800" b="1" u="sng">
            <a:solidFill>
              <a:schemeClr val="accent1">
                <a:lumMod val="50000"/>
              </a:schemeClr>
            </a:solidFill>
            <a:latin typeface="Franklin Gothic Demi" panose="020B0703020102020204" pitchFamily="34" charset="0"/>
          </a:endParaRPr>
        </a:p>
        <a:p>
          <a:pPr algn="l"/>
          <a:endParaRPr lang="en-US" sz="1800" b="1">
            <a:solidFill>
              <a:schemeClr val="accent1">
                <a:lumMod val="75000"/>
              </a:schemeClr>
            </a:solidFill>
          </a:endParaRPr>
        </a:p>
        <a:p>
          <a:pPr algn="l"/>
          <a:r>
            <a:rPr lang="en-US" sz="1800" b="1">
              <a:solidFill>
                <a:schemeClr val="accent1">
                  <a:lumMod val="75000"/>
                </a:schemeClr>
              </a:solidFill>
            </a:rPr>
            <a:t>Top Revenue Generator:</a:t>
          </a:r>
          <a:r>
            <a:rPr lang="en-US" sz="1800">
              <a:solidFill>
                <a:schemeClr val="accent1">
                  <a:lumMod val="75000"/>
                </a:schemeClr>
              </a:solidFill>
            </a:rPr>
            <a:t> </a:t>
          </a:r>
          <a:r>
            <a:rPr lang="en-US" sz="1800" b="1">
              <a:solidFill>
                <a:schemeClr val="accent1">
                  <a:lumMod val="75000"/>
                </a:schemeClr>
              </a:solidFill>
            </a:rPr>
            <a:t>Electronics</a:t>
          </a:r>
          <a:r>
            <a:rPr lang="en-US" sz="1800">
              <a:solidFill>
                <a:schemeClr val="accent1">
                  <a:lumMod val="75000"/>
                </a:schemeClr>
              </a:solidFill>
            </a:rPr>
            <a:t> is the leading product category, driving the highest share of total revenue, followed by Fashion and Accessories.</a:t>
          </a:r>
        </a:p>
        <a:p>
          <a:pPr algn="l"/>
          <a:endParaRPr lang="en-US" sz="1800">
            <a:solidFill>
              <a:schemeClr val="accent1">
                <a:lumMod val="75000"/>
              </a:schemeClr>
            </a:solidFill>
          </a:endParaRPr>
        </a:p>
        <a:p>
          <a:pPr algn="l"/>
          <a:r>
            <a:rPr lang="en-US" sz="1800" b="1">
              <a:solidFill>
                <a:schemeClr val="accent1">
                  <a:lumMod val="75000"/>
                </a:schemeClr>
              </a:solidFill>
            </a:rPr>
            <a:t>Geographical Performance:</a:t>
          </a:r>
          <a:r>
            <a:rPr lang="en-US" sz="1800">
              <a:solidFill>
                <a:schemeClr val="accent1">
                  <a:lumMod val="75000"/>
                </a:schemeClr>
              </a:solidFill>
            </a:rPr>
            <a:t> </a:t>
          </a:r>
          <a:r>
            <a:rPr lang="en-US" sz="1800" b="1">
              <a:solidFill>
                <a:schemeClr val="accent1">
                  <a:lumMod val="75000"/>
                </a:schemeClr>
              </a:solidFill>
            </a:rPr>
            <a:t>Surat, Pune, and Mumbai</a:t>
          </a:r>
          <a:r>
            <a:rPr lang="en-US" sz="1800">
              <a:solidFill>
                <a:schemeClr val="accent1">
                  <a:lumMod val="75000"/>
                </a:schemeClr>
              </a:solidFill>
            </a:rPr>
            <a:t> are the top-performing markets, generating the highest sales volumes compared to other cities.</a:t>
          </a:r>
        </a:p>
        <a:p>
          <a:pPr algn="l"/>
          <a:endParaRPr lang="en-US" sz="1800">
            <a:solidFill>
              <a:schemeClr val="accent1">
                <a:lumMod val="75000"/>
              </a:schemeClr>
            </a:solidFill>
          </a:endParaRPr>
        </a:p>
        <a:p>
          <a:pPr algn="l"/>
          <a:r>
            <a:rPr lang="en-US" sz="1800" b="1">
              <a:solidFill>
                <a:schemeClr val="accent1">
                  <a:lumMod val="75000"/>
                </a:schemeClr>
              </a:solidFill>
            </a:rPr>
            <a:t>Sales Trend Analysis:</a:t>
          </a:r>
          <a:r>
            <a:rPr lang="en-US" sz="1800">
              <a:solidFill>
                <a:schemeClr val="accent1">
                  <a:lumMod val="75000"/>
                </a:schemeClr>
              </a:solidFill>
            </a:rPr>
            <a:t> Total revenue peaked in </a:t>
          </a:r>
          <a:r>
            <a:rPr lang="en-US" sz="1800" b="1">
              <a:solidFill>
                <a:schemeClr val="accent1">
                  <a:lumMod val="75000"/>
                </a:schemeClr>
              </a:solidFill>
            </a:rPr>
            <a:t>January</a:t>
          </a:r>
          <a:r>
            <a:rPr lang="en-US" sz="1800">
              <a:solidFill>
                <a:schemeClr val="accent1">
                  <a:lumMod val="75000"/>
                </a:schemeClr>
              </a:solidFill>
            </a:rPr>
            <a:t>, followed by a steady performance through May, with a slight dip observed in </a:t>
          </a:r>
          <a:r>
            <a:rPr lang="en-US" sz="1800" b="1">
              <a:solidFill>
                <a:schemeClr val="accent1">
                  <a:lumMod val="75000"/>
                </a:schemeClr>
              </a:solidFill>
            </a:rPr>
            <a:t>June</a:t>
          </a:r>
          <a:r>
            <a:rPr lang="en-US" sz="1800">
              <a:solidFill>
                <a:schemeClr val="accent1">
                  <a:lumMod val="75000"/>
                </a:schemeClr>
              </a:solidFill>
            </a:rPr>
            <a:t>.</a:t>
          </a:r>
        </a:p>
        <a:p>
          <a:pPr algn="l"/>
          <a:endParaRPr lang="en-US" sz="1800">
            <a:solidFill>
              <a:schemeClr val="accent1">
                <a:lumMod val="75000"/>
              </a:schemeClr>
            </a:solidFill>
          </a:endParaRPr>
        </a:p>
        <a:p>
          <a:pPr algn="l"/>
          <a:r>
            <a:rPr lang="en-US" sz="1800" b="1">
              <a:solidFill>
                <a:schemeClr val="accent1">
                  <a:lumMod val="75000"/>
                </a:schemeClr>
              </a:solidFill>
            </a:rPr>
            <a:t>Product Demand:</a:t>
          </a:r>
          <a:r>
            <a:rPr lang="en-US" sz="1800">
              <a:solidFill>
                <a:schemeClr val="accent1">
                  <a:lumMod val="75000"/>
                </a:schemeClr>
              </a:solidFill>
            </a:rPr>
            <a:t> </a:t>
          </a:r>
          <a:r>
            <a:rPr lang="en-US" sz="1800" b="1">
              <a:solidFill>
                <a:schemeClr val="accent1">
                  <a:lumMod val="75000"/>
                </a:schemeClr>
              </a:solidFill>
            </a:rPr>
            <a:t>T-Shirts and Backpacks</a:t>
          </a:r>
          <a:r>
            <a:rPr lang="en-US" sz="1800">
              <a:solidFill>
                <a:schemeClr val="accent1">
                  <a:lumMod val="75000"/>
                </a:schemeClr>
              </a:solidFill>
            </a:rPr>
            <a:t> are the highest-performing items in terms of quantity sold, showing strong customer demand.</a:t>
          </a:r>
        </a:p>
        <a:p>
          <a:pPr algn="ctr"/>
          <a:endParaRPr lang="en-US" sz="1800" b="1" u="sng">
            <a:solidFill>
              <a:schemeClr val="accent1">
                <a:lumMod val="50000"/>
              </a:schemeClr>
            </a:solidFill>
            <a:latin typeface="Franklin Gothic Demi" panose="020B0703020102020204" pitchFamily="34" charset="0"/>
          </a:endParaRPr>
        </a:p>
      </xdr:txBody>
    </xdr:sp>
    <xdr:clientData/>
  </xdr:twoCellAnchor>
  <xdr:twoCellAnchor editAs="oneCell">
    <xdr:from>
      <xdr:col>21</xdr:col>
      <xdr:colOff>402772</xdr:colOff>
      <xdr:row>5</xdr:row>
      <xdr:rowOff>87085</xdr:rowOff>
    </xdr:from>
    <xdr:to>
      <xdr:col>22</xdr:col>
      <xdr:colOff>468086</xdr:colOff>
      <xdr:row>9</xdr:row>
      <xdr:rowOff>21770</xdr:rowOff>
    </xdr:to>
    <xdr:pic>
      <xdr:nvPicPr>
        <xdr:cNvPr id="15" name="Graphic 14" descr="Lightbulb with solid fill">
          <a:extLst>
            <a:ext uri="{FF2B5EF4-FFF2-40B4-BE49-F238E27FC236}">
              <a16:creationId xmlns:a16="http://schemas.microsoft.com/office/drawing/2014/main" id="{C65FA484-8160-44F6-8584-9B06590D199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868401" y="1251856"/>
          <a:ext cx="674914" cy="67491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5.894220254631" createdVersion="7" refreshedVersion="7" minRefreshableVersion="3" recordCount="1000" xr:uid="{00000000-000A-0000-FFFF-FFFF08000000}">
  <cacheSource type="worksheet">
    <worksheetSource ref="A1:I1001" sheet="ecommerce_sales_1000_records"/>
  </cacheSource>
  <cacheFields count="9">
    <cacheField name="Order_ID" numFmtId="0">
      <sharedItems/>
    </cacheField>
    <cacheField name="Product" numFmtId="0">
      <sharedItems count="14">
        <s v="Backpack"/>
        <s v="Keyboard"/>
        <s v="Book"/>
        <s v="Tablet"/>
        <s v="T-Shirt"/>
        <s v="Watch"/>
        <s v="Smartphone"/>
        <s v="Air Fryer"/>
        <s v="Mixer"/>
        <s v="Shoes"/>
        <s v="Jeans"/>
        <s v="Headphones"/>
        <s v="Coffee Maker"/>
        <s v="Laptop"/>
      </sharedItems>
    </cacheField>
    <cacheField name="Category" numFmtId="0">
      <sharedItems count="5">
        <s v="Accessories"/>
        <s v="Electronics"/>
        <s v="Books"/>
        <s v="Fashion"/>
        <s v="Home Appliances"/>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407.43" maxValue="60347.51"/>
    </cacheField>
    <cacheField name="City" numFmtId="0">
      <sharedItems count="10">
        <s v="Hyderabad"/>
        <s v="Surat"/>
        <s v="Mumbai"/>
        <s v="Jaipur"/>
        <s v="Delhi"/>
        <s v="Bangalore"/>
        <s v="Pune"/>
        <s v="Ahmedabad"/>
        <s v="Chennai"/>
        <s v="Kolkata"/>
      </sharedItems>
    </cacheField>
    <cacheField name="Date" numFmtId="14">
      <sharedItems containsSemiMixedTypes="0" containsNonDate="0" containsDate="1" containsString="0" minDate="2026-01-01T00:00:00" maxDate="2026-06-30T00:00:00"/>
    </cacheField>
    <cacheField name="Total_Revenue" numFmtId="0">
      <sharedItems containsSemiMixedTypes="0" containsString="0" containsNumber="1" minValue="410.56" maxValue="299643.45"/>
    </cacheField>
    <cacheField name="Month" numFmtId="0">
      <sharedItems count="6">
        <s v="March"/>
        <s v="January"/>
        <s v="February"/>
        <s v="May"/>
        <s v="June"/>
        <s v="April"/>
      </sharedItems>
    </cacheField>
  </cacheFields>
  <extLst>
    <ext xmlns:x14="http://schemas.microsoft.com/office/spreadsheetml/2009/9/main" uri="{725AE2AE-9491-48be-B2B4-4EB974FC3084}">
      <x14:pivotCacheDefinition pivotCacheId="1193843077"/>
    </ext>
  </extLst>
</pivotCacheDefinition>
</file>

<file path=xl/pivotCache/pivotCacheRecords1.xml><?xml version="1.0" encoding="utf-8"?>
<pivotCacheRecords xmlns="http://schemas.openxmlformats.org/spreadsheetml/2006/main" xmlns:r="http://schemas.openxmlformats.org/officeDocument/2006/relationships" count="1000">
  <r>
    <s v="ORD1001"/>
    <x v="0"/>
    <x v="0"/>
    <n v="1"/>
    <n v="1629"/>
    <x v="0"/>
    <d v="2026-03-04T00:00:00"/>
    <n v="1629"/>
    <x v="0"/>
  </r>
  <r>
    <s v="ORD1002"/>
    <x v="1"/>
    <x v="1"/>
    <n v="2"/>
    <n v="1570.94"/>
    <x v="1"/>
    <d v="2026-01-23T00:00:00"/>
    <n v="3141.88"/>
    <x v="1"/>
  </r>
  <r>
    <s v="ORD1003"/>
    <x v="2"/>
    <x v="2"/>
    <n v="4"/>
    <n v="407.86"/>
    <x v="2"/>
    <d v="2026-02-25T00:00:00"/>
    <n v="1631.44"/>
    <x v="2"/>
  </r>
  <r>
    <s v="ORD1004"/>
    <x v="1"/>
    <x v="1"/>
    <n v="5"/>
    <n v="1530.61"/>
    <x v="1"/>
    <d v="2026-02-20T00:00:00"/>
    <n v="7653.0499999999993"/>
    <x v="2"/>
  </r>
  <r>
    <s v="ORD1005"/>
    <x v="3"/>
    <x v="1"/>
    <n v="5"/>
    <n v="27549.31"/>
    <x v="3"/>
    <d v="2026-05-31T00:00:00"/>
    <n v="137746.55000000002"/>
    <x v="3"/>
  </r>
  <r>
    <s v="ORD1006"/>
    <x v="4"/>
    <x v="3"/>
    <n v="1"/>
    <n v="840.36"/>
    <x v="4"/>
    <d v="2026-06-28T00:00:00"/>
    <n v="840.36"/>
    <x v="4"/>
  </r>
  <r>
    <s v="ORD1007"/>
    <x v="5"/>
    <x v="0"/>
    <n v="3"/>
    <n v="4776.92"/>
    <x v="5"/>
    <d v="2026-03-28T00:00:00"/>
    <n v="14330.76"/>
    <x v="0"/>
  </r>
  <r>
    <s v="ORD1008"/>
    <x v="6"/>
    <x v="1"/>
    <n v="1"/>
    <n v="17567.740000000002"/>
    <x v="6"/>
    <d v="2026-03-30T00:00:00"/>
    <n v="17567.740000000002"/>
    <x v="0"/>
  </r>
  <r>
    <s v="ORD1009"/>
    <x v="2"/>
    <x v="2"/>
    <n v="3"/>
    <n v="477.64"/>
    <x v="3"/>
    <d v="2026-05-18T00:00:00"/>
    <n v="1432.92"/>
    <x v="3"/>
  </r>
  <r>
    <s v="ORD1010"/>
    <x v="6"/>
    <x v="1"/>
    <n v="4"/>
    <n v="16483.68"/>
    <x v="0"/>
    <d v="2026-06-10T00:00:00"/>
    <n v="65934.720000000001"/>
    <x v="4"/>
  </r>
  <r>
    <s v="ORD1011"/>
    <x v="2"/>
    <x v="2"/>
    <n v="3"/>
    <n v="456.96"/>
    <x v="2"/>
    <d v="2026-01-12T00:00:00"/>
    <n v="1370.8799999999999"/>
    <x v="1"/>
  </r>
  <r>
    <s v="ORD1012"/>
    <x v="0"/>
    <x v="0"/>
    <n v="2"/>
    <n v="1898.3"/>
    <x v="2"/>
    <d v="2026-03-01T00:00:00"/>
    <n v="3796.6"/>
    <x v="0"/>
  </r>
  <r>
    <s v="ORD1013"/>
    <x v="7"/>
    <x v="4"/>
    <n v="1"/>
    <n v="6344.16"/>
    <x v="3"/>
    <d v="2026-06-12T00:00:00"/>
    <n v="6344.16"/>
    <x v="4"/>
  </r>
  <r>
    <s v="ORD1014"/>
    <x v="7"/>
    <x v="4"/>
    <n v="3"/>
    <n v="6061.45"/>
    <x v="6"/>
    <d v="2026-02-23T00:00:00"/>
    <n v="18184.349999999999"/>
    <x v="2"/>
  </r>
  <r>
    <s v="ORD1015"/>
    <x v="0"/>
    <x v="0"/>
    <n v="3"/>
    <n v="1872.66"/>
    <x v="2"/>
    <d v="2026-06-05T00:00:00"/>
    <n v="5617.9800000000005"/>
    <x v="4"/>
  </r>
  <r>
    <s v="ORD1016"/>
    <x v="0"/>
    <x v="0"/>
    <n v="2"/>
    <n v="1812.29"/>
    <x v="5"/>
    <d v="2026-02-11T00:00:00"/>
    <n v="3624.58"/>
    <x v="2"/>
  </r>
  <r>
    <s v="ORD1017"/>
    <x v="8"/>
    <x v="4"/>
    <n v="4"/>
    <n v="3338.96"/>
    <x v="1"/>
    <d v="2026-02-26T00:00:00"/>
    <n v="13355.84"/>
    <x v="2"/>
  </r>
  <r>
    <s v="ORD1018"/>
    <x v="0"/>
    <x v="0"/>
    <n v="3"/>
    <n v="1923.43"/>
    <x v="7"/>
    <d v="2026-02-28T00:00:00"/>
    <n v="5770.29"/>
    <x v="2"/>
  </r>
  <r>
    <s v="ORD1019"/>
    <x v="7"/>
    <x v="4"/>
    <n v="1"/>
    <n v="6896.56"/>
    <x v="8"/>
    <d v="2026-03-10T00:00:00"/>
    <n v="6896.56"/>
    <x v="0"/>
  </r>
  <r>
    <s v="ORD1020"/>
    <x v="6"/>
    <x v="1"/>
    <n v="2"/>
    <n v="19487.29"/>
    <x v="9"/>
    <d v="2026-03-22T00:00:00"/>
    <n v="38974.58"/>
    <x v="0"/>
  </r>
  <r>
    <s v="ORD1021"/>
    <x v="1"/>
    <x v="1"/>
    <n v="4"/>
    <n v="1468.69"/>
    <x v="3"/>
    <d v="2026-02-06T00:00:00"/>
    <n v="5874.76"/>
    <x v="2"/>
  </r>
  <r>
    <s v="ORD1022"/>
    <x v="4"/>
    <x v="3"/>
    <n v="2"/>
    <n v="758.51"/>
    <x v="1"/>
    <d v="2026-05-18T00:00:00"/>
    <n v="1517.02"/>
    <x v="3"/>
  </r>
  <r>
    <s v="ORD1023"/>
    <x v="4"/>
    <x v="3"/>
    <n v="5"/>
    <n v="787.56"/>
    <x v="9"/>
    <d v="2026-04-13T00:00:00"/>
    <n v="3937.7999999999997"/>
    <x v="5"/>
  </r>
  <r>
    <s v="ORD1024"/>
    <x v="9"/>
    <x v="3"/>
    <n v="2"/>
    <n v="2747.56"/>
    <x v="4"/>
    <d v="2026-05-11T00:00:00"/>
    <n v="5495.12"/>
    <x v="3"/>
  </r>
  <r>
    <s v="ORD1025"/>
    <x v="8"/>
    <x v="4"/>
    <n v="1"/>
    <n v="3679.05"/>
    <x v="2"/>
    <d v="2026-02-09T00:00:00"/>
    <n v="3679.05"/>
    <x v="2"/>
  </r>
  <r>
    <s v="ORD1026"/>
    <x v="0"/>
    <x v="0"/>
    <n v="2"/>
    <n v="1905.15"/>
    <x v="8"/>
    <d v="2026-06-02T00:00:00"/>
    <n v="3810.3"/>
    <x v="4"/>
  </r>
  <r>
    <s v="ORD1027"/>
    <x v="6"/>
    <x v="1"/>
    <n v="4"/>
    <n v="17573.830000000002"/>
    <x v="3"/>
    <d v="2026-05-16T00:00:00"/>
    <n v="70295.320000000007"/>
    <x v="3"/>
  </r>
  <r>
    <s v="ORD1028"/>
    <x v="4"/>
    <x v="3"/>
    <n v="5"/>
    <n v="856.65"/>
    <x v="7"/>
    <d v="2026-06-24T00:00:00"/>
    <n v="4283.25"/>
    <x v="4"/>
  </r>
  <r>
    <s v="ORD1029"/>
    <x v="3"/>
    <x v="1"/>
    <n v="1"/>
    <n v="29017.58"/>
    <x v="1"/>
    <d v="2026-03-10T00:00:00"/>
    <n v="29017.58"/>
    <x v="0"/>
  </r>
  <r>
    <s v="ORD1030"/>
    <x v="10"/>
    <x v="3"/>
    <n v="3"/>
    <n v="1843.7"/>
    <x v="8"/>
    <d v="2026-02-10T00:00:00"/>
    <n v="5531.1"/>
    <x v="2"/>
  </r>
  <r>
    <s v="ORD1031"/>
    <x v="8"/>
    <x v="4"/>
    <n v="1"/>
    <n v="3817.67"/>
    <x v="0"/>
    <d v="2026-05-09T00:00:00"/>
    <n v="3817.67"/>
    <x v="3"/>
  </r>
  <r>
    <s v="ORD1032"/>
    <x v="10"/>
    <x v="3"/>
    <n v="2"/>
    <n v="2002.07"/>
    <x v="2"/>
    <d v="2026-06-10T00:00:00"/>
    <n v="4004.14"/>
    <x v="4"/>
  </r>
  <r>
    <s v="ORD1033"/>
    <x v="4"/>
    <x v="3"/>
    <n v="5"/>
    <n v="816.41"/>
    <x v="4"/>
    <d v="2026-04-06T00:00:00"/>
    <n v="4082.0499999999997"/>
    <x v="5"/>
  </r>
  <r>
    <s v="ORD1034"/>
    <x v="10"/>
    <x v="3"/>
    <n v="2"/>
    <n v="2014.74"/>
    <x v="1"/>
    <d v="2026-01-01T00:00:00"/>
    <n v="4029.48"/>
    <x v="1"/>
  </r>
  <r>
    <s v="ORD1035"/>
    <x v="2"/>
    <x v="2"/>
    <n v="3"/>
    <n v="448.97"/>
    <x v="2"/>
    <d v="2026-04-03T00:00:00"/>
    <n v="1346.91"/>
    <x v="5"/>
  </r>
  <r>
    <s v="ORD1036"/>
    <x v="7"/>
    <x v="4"/>
    <n v="3"/>
    <n v="6161.29"/>
    <x v="5"/>
    <d v="2026-05-26T00:00:00"/>
    <n v="18483.87"/>
    <x v="3"/>
  </r>
  <r>
    <s v="ORD1037"/>
    <x v="6"/>
    <x v="1"/>
    <n v="1"/>
    <n v="18834.87"/>
    <x v="2"/>
    <d v="2026-05-17T00:00:00"/>
    <n v="18834.87"/>
    <x v="3"/>
  </r>
  <r>
    <s v="ORD1038"/>
    <x v="10"/>
    <x v="3"/>
    <n v="2"/>
    <n v="1850.43"/>
    <x v="3"/>
    <d v="2026-05-21T00:00:00"/>
    <n v="3700.86"/>
    <x v="3"/>
  </r>
  <r>
    <s v="ORD1039"/>
    <x v="11"/>
    <x v="1"/>
    <n v="3"/>
    <n v="2212.1799999999998"/>
    <x v="9"/>
    <d v="2026-04-19T00:00:00"/>
    <n v="6636.5399999999991"/>
    <x v="5"/>
  </r>
  <r>
    <s v="ORD1040"/>
    <x v="1"/>
    <x v="1"/>
    <n v="5"/>
    <n v="1576.58"/>
    <x v="5"/>
    <d v="2026-03-21T00:00:00"/>
    <n v="7882.9"/>
    <x v="0"/>
  </r>
  <r>
    <s v="ORD1041"/>
    <x v="5"/>
    <x v="0"/>
    <n v="3"/>
    <n v="4937.1099999999997"/>
    <x v="1"/>
    <d v="2026-04-26T00:00:00"/>
    <n v="14811.329999999998"/>
    <x v="5"/>
  </r>
  <r>
    <s v="ORD1042"/>
    <x v="6"/>
    <x v="1"/>
    <n v="2"/>
    <n v="17008.91"/>
    <x v="6"/>
    <d v="2026-01-06T00:00:00"/>
    <n v="34017.82"/>
    <x v="1"/>
  </r>
  <r>
    <s v="ORD1043"/>
    <x v="2"/>
    <x v="2"/>
    <n v="5"/>
    <n v="425.71"/>
    <x v="5"/>
    <d v="2026-01-02T00:00:00"/>
    <n v="2128.5499999999997"/>
    <x v="1"/>
  </r>
  <r>
    <s v="ORD1044"/>
    <x v="6"/>
    <x v="1"/>
    <n v="1"/>
    <n v="17024.189999999999"/>
    <x v="7"/>
    <d v="2026-03-26T00:00:00"/>
    <n v="17024.189999999999"/>
    <x v="0"/>
  </r>
  <r>
    <s v="ORD1045"/>
    <x v="6"/>
    <x v="1"/>
    <n v="5"/>
    <n v="17056.82"/>
    <x v="3"/>
    <d v="2026-02-24T00:00:00"/>
    <n v="85284.1"/>
    <x v="2"/>
  </r>
  <r>
    <s v="ORD1046"/>
    <x v="12"/>
    <x v="4"/>
    <n v="2"/>
    <n v="4387.62"/>
    <x v="9"/>
    <d v="2026-05-28T00:00:00"/>
    <n v="8775.24"/>
    <x v="3"/>
  </r>
  <r>
    <s v="ORD1047"/>
    <x v="8"/>
    <x v="4"/>
    <n v="2"/>
    <n v="3699.23"/>
    <x v="8"/>
    <d v="2026-02-18T00:00:00"/>
    <n v="7398.46"/>
    <x v="2"/>
  </r>
  <r>
    <s v="ORD1048"/>
    <x v="6"/>
    <x v="1"/>
    <n v="1"/>
    <n v="18572.34"/>
    <x v="6"/>
    <d v="2026-04-19T00:00:00"/>
    <n v="18572.34"/>
    <x v="5"/>
  </r>
  <r>
    <s v="ORD1049"/>
    <x v="5"/>
    <x v="0"/>
    <n v="4"/>
    <n v="5362.76"/>
    <x v="7"/>
    <d v="2026-06-22T00:00:00"/>
    <n v="21451.040000000001"/>
    <x v="4"/>
  </r>
  <r>
    <s v="ORD1050"/>
    <x v="0"/>
    <x v="0"/>
    <n v="1"/>
    <n v="1641.82"/>
    <x v="6"/>
    <d v="2026-01-28T00:00:00"/>
    <n v="1641.82"/>
    <x v="1"/>
  </r>
  <r>
    <s v="ORD1051"/>
    <x v="1"/>
    <x v="1"/>
    <n v="2"/>
    <n v="1407.06"/>
    <x v="3"/>
    <d v="2026-02-05T00:00:00"/>
    <n v="2814.12"/>
    <x v="2"/>
  </r>
  <r>
    <s v="ORD1052"/>
    <x v="5"/>
    <x v="0"/>
    <n v="2"/>
    <n v="4777.59"/>
    <x v="5"/>
    <d v="2026-01-20T00:00:00"/>
    <n v="9555.18"/>
    <x v="1"/>
  </r>
  <r>
    <s v="ORD1053"/>
    <x v="8"/>
    <x v="4"/>
    <n v="5"/>
    <n v="3218.54"/>
    <x v="1"/>
    <d v="2026-01-04T00:00:00"/>
    <n v="16092.7"/>
    <x v="1"/>
  </r>
  <r>
    <s v="ORD1054"/>
    <x v="6"/>
    <x v="1"/>
    <n v="2"/>
    <n v="16798.72"/>
    <x v="3"/>
    <d v="2026-05-04T00:00:00"/>
    <n v="33597.440000000002"/>
    <x v="3"/>
  </r>
  <r>
    <s v="ORD1055"/>
    <x v="1"/>
    <x v="1"/>
    <n v="4"/>
    <n v="1620.73"/>
    <x v="4"/>
    <d v="2026-04-08T00:00:00"/>
    <n v="6482.92"/>
    <x v="5"/>
  </r>
  <r>
    <s v="ORD1056"/>
    <x v="13"/>
    <x v="1"/>
    <n v="4"/>
    <n v="52417.23"/>
    <x v="3"/>
    <d v="2026-03-15T00:00:00"/>
    <n v="209668.92"/>
    <x v="0"/>
  </r>
  <r>
    <s v="ORD1057"/>
    <x v="5"/>
    <x v="0"/>
    <n v="5"/>
    <n v="5160.84"/>
    <x v="3"/>
    <d v="2026-02-09T00:00:00"/>
    <n v="25804.2"/>
    <x v="2"/>
  </r>
  <r>
    <s v="ORD1058"/>
    <x v="1"/>
    <x v="1"/>
    <n v="3"/>
    <n v="1415.31"/>
    <x v="7"/>
    <d v="2026-05-29T00:00:00"/>
    <n v="4245.93"/>
    <x v="3"/>
  </r>
  <r>
    <s v="ORD1059"/>
    <x v="3"/>
    <x v="1"/>
    <n v="5"/>
    <n v="25541.360000000001"/>
    <x v="6"/>
    <d v="2026-01-15T00:00:00"/>
    <n v="127706.8"/>
    <x v="1"/>
  </r>
  <r>
    <s v="ORD1060"/>
    <x v="13"/>
    <x v="1"/>
    <n v="5"/>
    <n v="54744.67"/>
    <x v="1"/>
    <d v="2026-02-10T00:00:00"/>
    <n v="273723.34999999998"/>
    <x v="2"/>
  </r>
  <r>
    <s v="ORD1061"/>
    <x v="13"/>
    <x v="1"/>
    <n v="5"/>
    <n v="50381.23"/>
    <x v="4"/>
    <d v="2026-01-18T00:00:00"/>
    <n v="251906.15000000002"/>
    <x v="1"/>
  </r>
  <r>
    <s v="ORD1062"/>
    <x v="2"/>
    <x v="2"/>
    <n v="1"/>
    <n v="465.77"/>
    <x v="5"/>
    <d v="2026-04-14T00:00:00"/>
    <n v="465.77"/>
    <x v="5"/>
  </r>
  <r>
    <s v="ORD1063"/>
    <x v="6"/>
    <x v="1"/>
    <n v="5"/>
    <n v="17086.38"/>
    <x v="9"/>
    <d v="2026-01-11T00:00:00"/>
    <n v="85431.900000000009"/>
    <x v="1"/>
  </r>
  <r>
    <s v="ORD1064"/>
    <x v="2"/>
    <x v="2"/>
    <n v="1"/>
    <n v="442.73"/>
    <x v="9"/>
    <d v="2026-05-25T00:00:00"/>
    <n v="442.73"/>
    <x v="3"/>
  </r>
  <r>
    <s v="ORD1065"/>
    <x v="12"/>
    <x v="4"/>
    <n v="3"/>
    <n v="4565.1499999999996"/>
    <x v="5"/>
    <d v="2026-06-21T00:00:00"/>
    <n v="13695.449999999999"/>
    <x v="4"/>
  </r>
  <r>
    <s v="ORD1066"/>
    <x v="3"/>
    <x v="1"/>
    <n v="3"/>
    <n v="26536.639999999999"/>
    <x v="8"/>
    <d v="2026-02-03T00:00:00"/>
    <n v="79609.919999999998"/>
    <x v="2"/>
  </r>
  <r>
    <s v="ORD1067"/>
    <x v="0"/>
    <x v="0"/>
    <n v="3"/>
    <n v="1784.6"/>
    <x v="2"/>
    <d v="2026-01-03T00:00:00"/>
    <n v="5353.7999999999993"/>
    <x v="1"/>
  </r>
  <r>
    <s v="ORD1068"/>
    <x v="8"/>
    <x v="4"/>
    <n v="5"/>
    <n v="3848.92"/>
    <x v="2"/>
    <d v="2026-01-19T00:00:00"/>
    <n v="19244.599999999999"/>
    <x v="1"/>
  </r>
  <r>
    <s v="ORD1069"/>
    <x v="12"/>
    <x v="4"/>
    <n v="2"/>
    <n v="4204.9399999999996"/>
    <x v="4"/>
    <d v="2026-03-31T00:00:00"/>
    <n v="8409.8799999999992"/>
    <x v="0"/>
  </r>
  <r>
    <s v="ORD1070"/>
    <x v="6"/>
    <x v="1"/>
    <n v="2"/>
    <n v="17530.3"/>
    <x v="4"/>
    <d v="2026-04-23T00:00:00"/>
    <n v="35060.6"/>
    <x v="5"/>
  </r>
  <r>
    <s v="ORD1071"/>
    <x v="7"/>
    <x v="4"/>
    <n v="5"/>
    <n v="6764.6"/>
    <x v="9"/>
    <d v="2026-06-17T00:00:00"/>
    <n v="33823"/>
    <x v="4"/>
  </r>
  <r>
    <s v="ORD1072"/>
    <x v="12"/>
    <x v="4"/>
    <n v="1"/>
    <n v="4341.01"/>
    <x v="1"/>
    <d v="2026-03-18T00:00:00"/>
    <n v="4341.01"/>
    <x v="0"/>
  </r>
  <r>
    <s v="ORD1073"/>
    <x v="0"/>
    <x v="0"/>
    <n v="1"/>
    <n v="1958.01"/>
    <x v="4"/>
    <d v="2026-03-09T00:00:00"/>
    <n v="1958.01"/>
    <x v="0"/>
  </r>
  <r>
    <s v="ORD1074"/>
    <x v="6"/>
    <x v="1"/>
    <n v="1"/>
    <n v="18872.7"/>
    <x v="4"/>
    <d v="2026-03-11T00:00:00"/>
    <n v="18872.7"/>
    <x v="0"/>
  </r>
  <r>
    <s v="ORD1075"/>
    <x v="4"/>
    <x v="3"/>
    <n v="5"/>
    <n v="752.76"/>
    <x v="6"/>
    <d v="2026-02-22T00:00:00"/>
    <n v="3763.8"/>
    <x v="2"/>
  </r>
  <r>
    <s v="ORD1076"/>
    <x v="0"/>
    <x v="0"/>
    <n v="3"/>
    <n v="1801.95"/>
    <x v="0"/>
    <d v="2026-01-14T00:00:00"/>
    <n v="5405.85"/>
    <x v="1"/>
  </r>
  <r>
    <s v="ORD1077"/>
    <x v="6"/>
    <x v="1"/>
    <n v="4"/>
    <n v="19185.650000000001"/>
    <x v="7"/>
    <d v="2026-01-01T00:00:00"/>
    <n v="76742.600000000006"/>
    <x v="1"/>
  </r>
  <r>
    <s v="ORD1078"/>
    <x v="9"/>
    <x v="3"/>
    <n v="2"/>
    <n v="2567.5300000000002"/>
    <x v="0"/>
    <d v="2026-02-11T00:00:00"/>
    <n v="5135.0600000000004"/>
    <x v="2"/>
  </r>
  <r>
    <s v="ORD1079"/>
    <x v="3"/>
    <x v="1"/>
    <n v="4"/>
    <n v="28289.41"/>
    <x v="8"/>
    <d v="2026-05-24T00:00:00"/>
    <n v="113157.64"/>
    <x v="3"/>
  </r>
  <r>
    <s v="ORD1080"/>
    <x v="13"/>
    <x v="1"/>
    <n v="1"/>
    <n v="50327.68"/>
    <x v="4"/>
    <d v="2026-05-20T00:00:00"/>
    <n v="50327.68"/>
    <x v="3"/>
  </r>
  <r>
    <s v="ORD1081"/>
    <x v="13"/>
    <x v="1"/>
    <n v="3"/>
    <n v="55907.61"/>
    <x v="4"/>
    <d v="2026-04-21T00:00:00"/>
    <n v="167722.83000000002"/>
    <x v="5"/>
  </r>
  <r>
    <s v="ORD1082"/>
    <x v="11"/>
    <x v="1"/>
    <n v="1"/>
    <n v="2115.63"/>
    <x v="7"/>
    <d v="2026-04-02T00:00:00"/>
    <n v="2115.63"/>
    <x v="5"/>
  </r>
  <r>
    <s v="ORD1083"/>
    <x v="1"/>
    <x v="1"/>
    <n v="2"/>
    <n v="1550.08"/>
    <x v="6"/>
    <d v="2026-05-24T00:00:00"/>
    <n v="3100.16"/>
    <x v="3"/>
  </r>
  <r>
    <s v="ORD1084"/>
    <x v="7"/>
    <x v="4"/>
    <n v="4"/>
    <n v="7115.99"/>
    <x v="4"/>
    <d v="2026-03-02T00:00:00"/>
    <n v="28463.96"/>
    <x v="0"/>
  </r>
  <r>
    <s v="ORD1085"/>
    <x v="7"/>
    <x v="4"/>
    <n v="2"/>
    <n v="7119.07"/>
    <x v="4"/>
    <d v="2026-04-16T00:00:00"/>
    <n v="14238.14"/>
    <x v="5"/>
  </r>
  <r>
    <s v="ORD1086"/>
    <x v="13"/>
    <x v="1"/>
    <n v="2"/>
    <n v="57602.21"/>
    <x v="6"/>
    <d v="2026-04-16T00:00:00"/>
    <n v="115204.42"/>
    <x v="5"/>
  </r>
  <r>
    <s v="ORD1087"/>
    <x v="10"/>
    <x v="3"/>
    <n v="2"/>
    <n v="1905.77"/>
    <x v="2"/>
    <d v="2026-04-08T00:00:00"/>
    <n v="3811.54"/>
    <x v="5"/>
  </r>
  <r>
    <s v="ORD1088"/>
    <x v="7"/>
    <x v="4"/>
    <n v="1"/>
    <n v="6966.17"/>
    <x v="5"/>
    <d v="2026-02-21T00:00:00"/>
    <n v="6966.17"/>
    <x v="2"/>
  </r>
  <r>
    <s v="ORD1089"/>
    <x v="7"/>
    <x v="4"/>
    <n v="4"/>
    <n v="6304.56"/>
    <x v="5"/>
    <d v="2026-02-27T00:00:00"/>
    <n v="25218.240000000002"/>
    <x v="2"/>
  </r>
  <r>
    <s v="ORD1090"/>
    <x v="13"/>
    <x v="1"/>
    <n v="2"/>
    <n v="53883.13"/>
    <x v="0"/>
    <d v="2026-01-18T00:00:00"/>
    <n v="107766.26"/>
    <x v="1"/>
  </r>
  <r>
    <s v="ORD1091"/>
    <x v="10"/>
    <x v="3"/>
    <n v="3"/>
    <n v="1939.49"/>
    <x v="1"/>
    <d v="2026-04-13T00:00:00"/>
    <n v="5818.47"/>
    <x v="5"/>
  </r>
  <r>
    <s v="ORD1092"/>
    <x v="0"/>
    <x v="0"/>
    <n v="5"/>
    <n v="1739.21"/>
    <x v="7"/>
    <d v="2026-01-30T00:00:00"/>
    <n v="8696.0499999999993"/>
    <x v="1"/>
  </r>
  <r>
    <s v="ORD1093"/>
    <x v="4"/>
    <x v="3"/>
    <n v="2"/>
    <n v="811.88"/>
    <x v="0"/>
    <d v="2026-01-10T00:00:00"/>
    <n v="1623.76"/>
    <x v="1"/>
  </r>
  <r>
    <s v="ORD1094"/>
    <x v="6"/>
    <x v="1"/>
    <n v="5"/>
    <n v="17764.43"/>
    <x v="6"/>
    <d v="2026-04-22T00:00:00"/>
    <n v="88822.15"/>
    <x v="5"/>
  </r>
  <r>
    <s v="ORD1095"/>
    <x v="2"/>
    <x v="2"/>
    <n v="5"/>
    <n v="415.41"/>
    <x v="9"/>
    <d v="2026-02-18T00:00:00"/>
    <n v="2077.0500000000002"/>
    <x v="2"/>
  </r>
  <r>
    <s v="ORD1096"/>
    <x v="4"/>
    <x v="3"/>
    <n v="1"/>
    <n v="832.36"/>
    <x v="7"/>
    <d v="2026-05-14T00:00:00"/>
    <n v="832.36"/>
    <x v="3"/>
  </r>
  <r>
    <s v="ORD1097"/>
    <x v="10"/>
    <x v="3"/>
    <n v="5"/>
    <n v="2073.71"/>
    <x v="5"/>
    <d v="2026-04-04T00:00:00"/>
    <n v="10368.549999999999"/>
    <x v="5"/>
  </r>
  <r>
    <s v="ORD1098"/>
    <x v="5"/>
    <x v="0"/>
    <n v="1"/>
    <n v="5447.78"/>
    <x v="6"/>
    <d v="2026-06-09T00:00:00"/>
    <n v="5447.78"/>
    <x v="4"/>
  </r>
  <r>
    <s v="ORD1099"/>
    <x v="9"/>
    <x v="3"/>
    <n v="1"/>
    <n v="2608.83"/>
    <x v="0"/>
    <d v="2026-05-10T00:00:00"/>
    <n v="2608.83"/>
    <x v="3"/>
  </r>
  <r>
    <s v="ORD1100"/>
    <x v="4"/>
    <x v="3"/>
    <n v="4"/>
    <n v="771.22"/>
    <x v="0"/>
    <d v="2026-05-22T00:00:00"/>
    <n v="3084.88"/>
    <x v="3"/>
  </r>
  <r>
    <s v="ORD1101"/>
    <x v="11"/>
    <x v="1"/>
    <n v="2"/>
    <n v="2165"/>
    <x v="8"/>
    <d v="2026-06-23T00:00:00"/>
    <n v="4330"/>
    <x v="4"/>
  </r>
  <r>
    <s v="ORD1102"/>
    <x v="3"/>
    <x v="1"/>
    <n v="2"/>
    <n v="28646.880000000001"/>
    <x v="0"/>
    <d v="2026-04-14T00:00:00"/>
    <n v="57293.760000000002"/>
    <x v="5"/>
  </r>
  <r>
    <s v="ORD1103"/>
    <x v="12"/>
    <x v="4"/>
    <n v="1"/>
    <n v="4035.25"/>
    <x v="5"/>
    <d v="2026-04-21T00:00:00"/>
    <n v="4035.25"/>
    <x v="5"/>
  </r>
  <r>
    <s v="ORD1104"/>
    <x v="10"/>
    <x v="3"/>
    <n v="5"/>
    <n v="2041.64"/>
    <x v="6"/>
    <d v="2026-04-30T00:00:00"/>
    <n v="10208.200000000001"/>
    <x v="5"/>
  </r>
  <r>
    <s v="ORD1105"/>
    <x v="8"/>
    <x v="4"/>
    <n v="4"/>
    <n v="3622.94"/>
    <x v="1"/>
    <d v="2026-05-02T00:00:00"/>
    <n v="14491.76"/>
    <x v="3"/>
  </r>
  <r>
    <s v="ORD1106"/>
    <x v="10"/>
    <x v="3"/>
    <n v="2"/>
    <n v="2062.5100000000002"/>
    <x v="0"/>
    <d v="2026-05-12T00:00:00"/>
    <n v="4125.0200000000004"/>
    <x v="3"/>
  </r>
  <r>
    <s v="ORD1107"/>
    <x v="0"/>
    <x v="0"/>
    <n v="5"/>
    <n v="1740.67"/>
    <x v="5"/>
    <d v="2026-06-22T00:00:00"/>
    <n v="8703.35"/>
    <x v="4"/>
  </r>
  <r>
    <s v="ORD1108"/>
    <x v="4"/>
    <x v="3"/>
    <n v="2"/>
    <n v="847.99"/>
    <x v="4"/>
    <d v="2026-01-07T00:00:00"/>
    <n v="1695.98"/>
    <x v="1"/>
  </r>
  <r>
    <s v="ORD1109"/>
    <x v="13"/>
    <x v="1"/>
    <n v="2"/>
    <n v="60323.3"/>
    <x v="9"/>
    <d v="2026-01-19T00:00:00"/>
    <n v="120646.6"/>
    <x v="1"/>
  </r>
  <r>
    <s v="ORD1110"/>
    <x v="8"/>
    <x v="4"/>
    <n v="4"/>
    <n v="3770.3"/>
    <x v="9"/>
    <d v="2026-02-19T00:00:00"/>
    <n v="15081.2"/>
    <x v="2"/>
  </r>
  <r>
    <s v="ORD1111"/>
    <x v="3"/>
    <x v="1"/>
    <n v="4"/>
    <n v="27968.51"/>
    <x v="5"/>
    <d v="2026-02-07T00:00:00"/>
    <n v="111874.04"/>
    <x v="2"/>
  </r>
  <r>
    <s v="ORD1112"/>
    <x v="0"/>
    <x v="0"/>
    <n v="1"/>
    <n v="1941.36"/>
    <x v="2"/>
    <d v="2026-04-19T00:00:00"/>
    <n v="1941.36"/>
    <x v="5"/>
  </r>
  <r>
    <s v="ORD1113"/>
    <x v="1"/>
    <x v="1"/>
    <n v="2"/>
    <n v="1591.23"/>
    <x v="1"/>
    <d v="2026-04-29T00:00:00"/>
    <n v="3182.46"/>
    <x v="5"/>
  </r>
  <r>
    <s v="ORD1114"/>
    <x v="13"/>
    <x v="1"/>
    <n v="5"/>
    <n v="52241.18"/>
    <x v="2"/>
    <d v="2026-04-27T00:00:00"/>
    <n v="261205.9"/>
    <x v="5"/>
  </r>
  <r>
    <s v="ORD1115"/>
    <x v="11"/>
    <x v="1"/>
    <n v="4"/>
    <n v="2273.73"/>
    <x v="1"/>
    <d v="2026-06-02T00:00:00"/>
    <n v="9094.92"/>
    <x v="4"/>
  </r>
  <r>
    <s v="ORD1116"/>
    <x v="9"/>
    <x v="3"/>
    <n v="4"/>
    <n v="2555.3000000000002"/>
    <x v="1"/>
    <d v="2026-04-20T00:00:00"/>
    <n v="10221.200000000001"/>
    <x v="5"/>
  </r>
  <r>
    <s v="ORD1117"/>
    <x v="7"/>
    <x v="4"/>
    <n v="5"/>
    <n v="6429.69"/>
    <x v="4"/>
    <d v="2026-05-02T00:00:00"/>
    <n v="32148.449999999997"/>
    <x v="3"/>
  </r>
  <r>
    <s v="ORD1118"/>
    <x v="8"/>
    <x v="4"/>
    <n v="3"/>
    <n v="3676.24"/>
    <x v="0"/>
    <d v="2026-05-14T00:00:00"/>
    <n v="11028.72"/>
    <x v="3"/>
  </r>
  <r>
    <s v="ORD1119"/>
    <x v="8"/>
    <x v="4"/>
    <n v="2"/>
    <n v="3342.22"/>
    <x v="2"/>
    <d v="2026-03-15T00:00:00"/>
    <n v="6684.44"/>
    <x v="0"/>
  </r>
  <r>
    <s v="ORD1120"/>
    <x v="1"/>
    <x v="1"/>
    <n v="3"/>
    <n v="1450.75"/>
    <x v="1"/>
    <d v="2026-01-21T00:00:00"/>
    <n v="4352.25"/>
    <x v="1"/>
  </r>
  <r>
    <s v="ORD1121"/>
    <x v="11"/>
    <x v="1"/>
    <n v="2"/>
    <n v="2081.7600000000002"/>
    <x v="4"/>
    <d v="2026-02-24T00:00:00"/>
    <n v="4163.5200000000004"/>
    <x v="2"/>
  </r>
  <r>
    <s v="ORD1122"/>
    <x v="6"/>
    <x v="1"/>
    <n v="4"/>
    <n v="17667.36"/>
    <x v="1"/>
    <d v="2026-04-30T00:00:00"/>
    <n v="70669.440000000002"/>
    <x v="5"/>
  </r>
  <r>
    <s v="ORD1123"/>
    <x v="5"/>
    <x v="0"/>
    <n v="1"/>
    <n v="4705.8900000000003"/>
    <x v="8"/>
    <d v="2026-04-10T00:00:00"/>
    <n v="4705.8900000000003"/>
    <x v="5"/>
  </r>
  <r>
    <s v="ORD1124"/>
    <x v="10"/>
    <x v="3"/>
    <n v="5"/>
    <n v="2177.34"/>
    <x v="7"/>
    <d v="2026-05-28T00:00:00"/>
    <n v="10886.7"/>
    <x v="3"/>
  </r>
  <r>
    <s v="ORD1125"/>
    <x v="5"/>
    <x v="0"/>
    <n v="4"/>
    <n v="4504.99"/>
    <x v="6"/>
    <d v="2026-03-18T00:00:00"/>
    <n v="18019.96"/>
    <x v="0"/>
  </r>
  <r>
    <s v="ORD1126"/>
    <x v="10"/>
    <x v="3"/>
    <n v="4"/>
    <n v="2140.31"/>
    <x v="8"/>
    <d v="2026-05-18T00:00:00"/>
    <n v="8561.24"/>
    <x v="3"/>
  </r>
  <r>
    <s v="ORD1127"/>
    <x v="3"/>
    <x v="1"/>
    <n v="5"/>
    <n v="29679.26"/>
    <x v="5"/>
    <d v="2026-05-05T00:00:00"/>
    <n v="148396.29999999999"/>
    <x v="3"/>
  </r>
  <r>
    <s v="ORD1128"/>
    <x v="1"/>
    <x v="1"/>
    <n v="3"/>
    <n v="1480.75"/>
    <x v="7"/>
    <d v="2026-04-10T00:00:00"/>
    <n v="4442.25"/>
    <x v="5"/>
  </r>
  <r>
    <s v="ORD1129"/>
    <x v="9"/>
    <x v="3"/>
    <n v="4"/>
    <n v="2611.0500000000002"/>
    <x v="3"/>
    <d v="2026-02-02T00:00:00"/>
    <n v="10444.200000000001"/>
    <x v="2"/>
  </r>
  <r>
    <s v="ORD1130"/>
    <x v="2"/>
    <x v="2"/>
    <n v="5"/>
    <n v="407.43"/>
    <x v="8"/>
    <d v="2026-06-01T00:00:00"/>
    <n v="2037.15"/>
    <x v="4"/>
  </r>
  <r>
    <s v="ORD1131"/>
    <x v="2"/>
    <x v="2"/>
    <n v="1"/>
    <n v="412.56"/>
    <x v="8"/>
    <d v="2026-02-04T00:00:00"/>
    <n v="412.56"/>
    <x v="2"/>
  </r>
  <r>
    <s v="ORD1132"/>
    <x v="7"/>
    <x v="4"/>
    <n v="4"/>
    <n v="6086.25"/>
    <x v="0"/>
    <d v="2026-04-08T00:00:00"/>
    <n v="24345"/>
    <x v="5"/>
  </r>
  <r>
    <s v="ORD1133"/>
    <x v="9"/>
    <x v="3"/>
    <n v="2"/>
    <n v="2476.36"/>
    <x v="6"/>
    <d v="2026-04-08T00:00:00"/>
    <n v="4952.72"/>
    <x v="5"/>
  </r>
  <r>
    <s v="ORD1134"/>
    <x v="4"/>
    <x v="3"/>
    <n v="4"/>
    <n v="759.41"/>
    <x v="2"/>
    <d v="2026-05-01T00:00:00"/>
    <n v="3037.64"/>
    <x v="3"/>
  </r>
  <r>
    <s v="ORD1135"/>
    <x v="13"/>
    <x v="1"/>
    <n v="5"/>
    <n v="50072.94"/>
    <x v="6"/>
    <d v="2026-02-27T00:00:00"/>
    <n v="250364.7"/>
    <x v="2"/>
  </r>
  <r>
    <s v="ORD1136"/>
    <x v="0"/>
    <x v="0"/>
    <n v="1"/>
    <n v="1901.24"/>
    <x v="7"/>
    <d v="2026-01-08T00:00:00"/>
    <n v="1901.24"/>
    <x v="1"/>
  </r>
  <r>
    <s v="ORD1137"/>
    <x v="1"/>
    <x v="1"/>
    <n v="2"/>
    <n v="1601.77"/>
    <x v="9"/>
    <d v="2026-02-09T00:00:00"/>
    <n v="3203.54"/>
    <x v="2"/>
  </r>
  <r>
    <s v="ORD1138"/>
    <x v="1"/>
    <x v="1"/>
    <n v="2"/>
    <n v="1492.07"/>
    <x v="2"/>
    <d v="2026-05-25T00:00:00"/>
    <n v="2984.14"/>
    <x v="3"/>
  </r>
  <r>
    <s v="ORD1139"/>
    <x v="1"/>
    <x v="1"/>
    <n v="4"/>
    <n v="1559.84"/>
    <x v="6"/>
    <d v="2026-02-12T00:00:00"/>
    <n v="6239.36"/>
    <x v="2"/>
  </r>
  <r>
    <s v="ORD1140"/>
    <x v="2"/>
    <x v="2"/>
    <n v="5"/>
    <n v="491.74"/>
    <x v="2"/>
    <d v="2026-02-11T00:00:00"/>
    <n v="2458.6999999999998"/>
    <x v="2"/>
  </r>
  <r>
    <s v="ORD1141"/>
    <x v="4"/>
    <x v="3"/>
    <n v="1"/>
    <n v="811.57"/>
    <x v="0"/>
    <d v="2026-05-28T00:00:00"/>
    <n v="811.57"/>
    <x v="3"/>
  </r>
  <r>
    <s v="ORD1142"/>
    <x v="0"/>
    <x v="0"/>
    <n v="4"/>
    <n v="1762.8"/>
    <x v="5"/>
    <d v="2026-01-20T00:00:00"/>
    <n v="7051.2"/>
    <x v="1"/>
  </r>
  <r>
    <s v="ORD1143"/>
    <x v="2"/>
    <x v="2"/>
    <n v="2"/>
    <n v="414.17"/>
    <x v="0"/>
    <d v="2026-06-25T00:00:00"/>
    <n v="828.34"/>
    <x v="4"/>
  </r>
  <r>
    <s v="ORD1144"/>
    <x v="2"/>
    <x v="2"/>
    <n v="1"/>
    <n v="476.66"/>
    <x v="9"/>
    <d v="2026-01-11T00:00:00"/>
    <n v="476.66"/>
    <x v="1"/>
  </r>
  <r>
    <s v="ORD1145"/>
    <x v="9"/>
    <x v="3"/>
    <n v="5"/>
    <n v="2463.1999999999998"/>
    <x v="6"/>
    <d v="2026-01-18T00:00:00"/>
    <n v="12316"/>
    <x v="1"/>
  </r>
  <r>
    <s v="ORD1146"/>
    <x v="12"/>
    <x v="4"/>
    <n v="3"/>
    <n v="3790.63"/>
    <x v="8"/>
    <d v="2026-05-06T00:00:00"/>
    <n v="11371.89"/>
    <x v="3"/>
  </r>
  <r>
    <s v="ORD1147"/>
    <x v="6"/>
    <x v="1"/>
    <n v="4"/>
    <n v="19658.84"/>
    <x v="3"/>
    <d v="2026-02-09T00:00:00"/>
    <n v="78635.360000000001"/>
    <x v="2"/>
  </r>
  <r>
    <s v="ORD1148"/>
    <x v="5"/>
    <x v="0"/>
    <n v="2"/>
    <n v="5232.75"/>
    <x v="0"/>
    <d v="2026-06-07T00:00:00"/>
    <n v="10465.5"/>
    <x v="4"/>
  </r>
  <r>
    <s v="ORD1149"/>
    <x v="10"/>
    <x v="3"/>
    <n v="5"/>
    <n v="2108.8000000000002"/>
    <x v="3"/>
    <d v="2026-04-22T00:00:00"/>
    <n v="10544"/>
    <x v="5"/>
  </r>
  <r>
    <s v="ORD1150"/>
    <x v="7"/>
    <x v="4"/>
    <n v="5"/>
    <n v="6198.91"/>
    <x v="5"/>
    <d v="2026-01-23T00:00:00"/>
    <n v="30994.55"/>
    <x v="1"/>
  </r>
  <r>
    <s v="ORD1151"/>
    <x v="4"/>
    <x v="3"/>
    <n v="4"/>
    <n v="758.07"/>
    <x v="3"/>
    <d v="2026-05-26T00:00:00"/>
    <n v="3032.28"/>
    <x v="3"/>
  </r>
  <r>
    <s v="ORD1152"/>
    <x v="2"/>
    <x v="2"/>
    <n v="4"/>
    <n v="435.28"/>
    <x v="3"/>
    <d v="2026-03-25T00:00:00"/>
    <n v="1741.12"/>
    <x v="0"/>
  </r>
  <r>
    <s v="ORD1153"/>
    <x v="11"/>
    <x v="1"/>
    <n v="4"/>
    <n v="2073.33"/>
    <x v="0"/>
    <d v="2026-03-29T00:00:00"/>
    <n v="8293.32"/>
    <x v="0"/>
  </r>
  <r>
    <s v="ORD1154"/>
    <x v="4"/>
    <x v="3"/>
    <n v="5"/>
    <n v="831.15"/>
    <x v="0"/>
    <d v="2026-05-23T00:00:00"/>
    <n v="4155.75"/>
    <x v="3"/>
  </r>
  <r>
    <s v="ORD1155"/>
    <x v="13"/>
    <x v="1"/>
    <n v="5"/>
    <n v="59928.69"/>
    <x v="2"/>
    <d v="2026-03-03T00:00:00"/>
    <n v="299643.45"/>
    <x v="0"/>
  </r>
  <r>
    <s v="ORD1156"/>
    <x v="3"/>
    <x v="1"/>
    <n v="4"/>
    <n v="27936.04"/>
    <x v="5"/>
    <d v="2026-06-26T00:00:00"/>
    <n v="111744.16"/>
    <x v="4"/>
  </r>
  <r>
    <s v="ORD1157"/>
    <x v="8"/>
    <x v="4"/>
    <n v="4"/>
    <n v="3463.72"/>
    <x v="7"/>
    <d v="2026-01-24T00:00:00"/>
    <n v="13854.88"/>
    <x v="1"/>
  </r>
  <r>
    <s v="ORD1158"/>
    <x v="4"/>
    <x v="3"/>
    <n v="2"/>
    <n v="783.72"/>
    <x v="5"/>
    <d v="2026-03-20T00:00:00"/>
    <n v="1567.44"/>
    <x v="0"/>
  </r>
  <r>
    <s v="ORD1159"/>
    <x v="0"/>
    <x v="0"/>
    <n v="5"/>
    <n v="1752.85"/>
    <x v="1"/>
    <d v="2026-05-16T00:00:00"/>
    <n v="8764.25"/>
    <x v="3"/>
  </r>
  <r>
    <s v="ORD1160"/>
    <x v="9"/>
    <x v="3"/>
    <n v="4"/>
    <n v="2747.22"/>
    <x v="1"/>
    <d v="2026-03-26T00:00:00"/>
    <n v="10988.88"/>
    <x v="0"/>
  </r>
  <r>
    <s v="ORD1161"/>
    <x v="9"/>
    <x v="3"/>
    <n v="4"/>
    <n v="2384.5"/>
    <x v="0"/>
    <d v="2026-03-01T00:00:00"/>
    <n v="9538"/>
    <x v="0"/>
  </r>
  <r>
    <s v="ORD1162"/>
    <x v="6"/>
    <x v="1"/>
    <n v="2"/>
    <n v="17335.97"/>
    <x v="1"/>
    <d v="2026-06-26T00:00:00"/>
    <n v="34671.94"/>
    <x v="4"/>
  </r>
  <r>
    <s v="ORD1163"/>
    <x v="11"/>
    <x v="1"/>
    <n v="2"/>
    <n v="2075.21"/>
    <x v="3"/>
    <d v="2026-03-12T00:00:00"/>
    <n v="4150.42"/>
    <x v="0"/>
  </r>
  <r>
    <s v="ORD1164"/>
    <x v="3"/>
    <x v="1"/>
    <n v="5"/>
    <n v="30669"/>
    <x v="1"/>
    <d v="2026-06-02T00:00:00"/>
    <n v="153345"/>
    <x v="4"/>
  </r>
  <r>
    <s v="ORD1165"/>
    <x v="4"/>
    <x v="3"/>
    <n v="1"/>
    <n v="852.15"/>
    <x v="0"/>
    <d v="2026-02-28T00:00:00"/>
    <n v="852.15"/>
    <x v="2"/>
  </r>
  <r>
    <s v="ORD1166"/>
    <x v="9"/>
    <x v="3"/>
    <n v="2"/>
    <n v="2400.17"/>
    <x v="1"/>
    <d v="2026-02-02T00:00:00"/>
    <n v="4800.34"/>
    <x v="2"/>
  </r>
  <r>
    <s v="ORD1167"/>
    <x v="4"/>
    <x v="3"/>
    <n v="1"/>
    <n v="874.79"/>
    <x v="1"/>
    <d v="2026-03-16T00:00:00"/>
    <n v="874.79"/>
    <x v="0"/>
  </r>
  <r>
    <s v="ORD1168"/>
    <x v="3"/>
    <x v="1"/>
    <n v="2"/>
    <n v="28772.07"/>
    <x v="3"/>
    <d v="2026-01-27T00:00:00"/>
    <n v="57544.14"/>
    <x v="1"/>
  </r>
  <r>
    <s v="ORD1169"/>
    <x v="7"/>
    <x v="4"/>
    <n v="1"/>
    <n v="6596.28"/>
    <x v="3"/>
    <d v="2026-05-03T00:00:00"/>
    <n v="6596.28"/>
    <x v="3"/>
  </r>
  <r>
    <s v="ORD1170"/>
    <x v="8"/>
    <x v="4"/>
    <n v="3"/>
    <n v="3279.05"/>
    <x v="7"/>
    <d v="2026-03-06T00:00:00"/>
    <n v="9837.1500000000015"/>
    <x v="0"/>
  </r>
  <r>
    <s v="ORD1171"/>
    <x v="7"/>
    <x v="4"/>
    <n v="4"/>
    <n v="5998.31"/>
    <x v="2"/>
    <d v="2026-04-13T00:00:00"/>
    <n v="23993.24"/>
    <x v="5"/>
  </r>
  <r>
    <s v="ORD1172"/>
    <x v="8"/>
    <x v="4"/>
    <n v="1"/>
    <n v="3553.91"/>
    <x v="7"/>
    <d v="2026-02-08T00:00:00"/>
    <n v="3553.91"/>
    <x v="2"/>
  </r>
  <r>
    <s v="ORD1173"/>
    <x v="11"/>
    <x v="1"/>
    <n v="5"/>
    <n v="2397.62"/>
    <x v="2"/>
    <d v="2026-03-05T00:00:00"/>
    <n v="11988.099999999999"/>
    <x v="0"/>
  </r>
  <r>
    <s v="ORD1174"/>
    <x v="6"/>
    <x v="1"/>
    <n v="5"/>
    <n v="18952"/>
    <x v="9"/>
    <d v="2026-06-02T00:00:00"/>
    <n v="94760"/>
    <x v="4"/>
  </r>
  <r>
    <s v="ORD1175"/>
    <x v="10"/>
    <x v="3"/>
    <n v="5"/>
    <n v="1889.33"/>
    <x v="1"/>
    <d v="2026-04-08T00:00:00"/>
    <n v="9446.65"/>
    <x v="5"/>
  </r>
  <r>
    <s v="ORD1176"/>
    <x v="8"/>
    <x v="4"/>
    <n v="4"/>
    <n v="3358.15"/>
    <x v="9"/>
    <d v="2026-04-20T00:00:00"/>
    <n v="13432.6"/>
    <x v="5"/>
  </r>
  <r>
    <s v="ORD1177"/>
    <x v="4"/>
    <x v="3"/>
    <n v="5"/>
    <n v="818.34"/>
    <x v="9"/>
    <d v="2026-01-26T00:00:00"/>
    <n v="4091.7000000000003"/>
    <x v="1"/>
  </r>
  <r>
    <s v="ORD1178"/>
    <x v="10"/>
    <x v="3"/>
    <n v="2"/>
    <n v="2049.1799999999998"/>
    <x v="0"/>
    <d v="2026-06-19T00:00:00"/>
    <n v="4098.3599999999997"/>
    <x v="4"/>
  </r>
  <r>
    <s v="ORD1179"/>
    <x v="6"/>
    <x v="1"/>
    <n v="2"/>
    <n v="17063.509999999998"/>
    <x v="1"/>
    <d v="2026-01-20T00:00:00"/>
    <n v="34127.019999999997"/>
    <x v="1"/>
  </r>
  <r>
    <s v="ORD1180"/>
    <x v="11"/>
    <x v="1"/>
    <n v="1"/>
    <n v="2159.75"/>
    <x v="9"/>
    <d v="2026-05-01T00:00:00"/>
    <n v="2159.75"/>
    <x v="3"/>
  </r>
  <r>
    <s v="ORD1181"/>
    <x v="4"/>
    <x v="3"/>
    <n v="1"/>
    <n v="756.09"/>
    <x v="0"/>
    <d v="2026-06-29T00:00:00"/>
    <n v="756.09"/>
    <x v="4"/>
  </r>
  <r>
    <s v="ORD1182"/>
    <x v="7"/>
    <x v="4"/>
    <n v="4"/>
    <n v="5942.53"/>
    <x v="5"/>
    <d v="2026-03-09T00:00:00"/>
    <n v="23770.12"/>
    <x v="0"/>
  </r>
  <r>
    <s v="ORD1183"/>
    <x v="10"/>
    <x v="3"/>
    <n v="5"/>
    <n v="2063.44"/>
    <x v="5"/>
    <d v="2026-04-19T00:00:00"/>
    <n v="10317.200000000001"/>
    <x v="5"/>
  </r>
  <r>
    <s v="ORD1184"/>
    <x v="6"/>
    <x v="1"/>
    <n v="5"/>
    <n v="17009.310000000001"/>
    <x v="4"/>
    <d v="2026-03-10T00:00:00"/>
    <n v="85046.55"/>
    <x v="0"/>
  </r>
  <r>
    <s v="ORD1185"/>
    <x v="7"/>
    <x v="4"/>
    <n v="2"/>
    <n v="5942.83"/>
    <x v="4"/>
    <d v="2026-03-20T00:00:00"/>
    <n v="11885.66"/>
    <x v="0"/>
  </r>
  <r>
    <s v="ORD1186"/>
    <x v="2"/>
    <x v="2"/>
    <n v="5"/>
    <n v="487.91"/>
    <x v="3"/>
    <d v="2026-02-01T00:00:00"/>
    <n v="2439.5500000000002"/>
    <x v="2"/>
  </r>
  <r>
    <s v="ORD1187"/>
    <x v="8"/>
    <x v="4"/>
    <n v="3"/>
    <n v="3639.81"/>
    <x v="0"/>
    <d v="2026-05-09T00:00:00"/>
    <n v="10919.43"/>
    <x v="3"/>
  </r>
  <r>
    <s v="ORD1188"/>
    <x v="12"/>
    <x v="4"/>
    <n v="4"/>
    <n v="4147.72"/>
    <x v="9"/>
    <d v="2026-01-11T00:00:00"/>
    <n v="16590.88"/>
    <x v="1"/>
  </r>
  <r>
    <s v="ORD1189"/>
    <x v="5"/>
    <x v="0"/>
    <n v="3"/>
    <n v="5102.6899999999996"/>
    <x v="7"/>
    <d v="2026-01-24T00:00:00"/>
    <n v="15308.07"/>
    <x v="1"/>
  </r>
  <r>
    <s v="ORD1190"/>
    <x v="1"/>
    <x v="1"/>
    <n v="5"/>
    <n v="1526.14"/>
    <x v="7"/>
    <d v="2026-06-22T00:00:00"/>
    <n v="7630.7000000000007"/>
    <x v="4"/>
  </r>
  <r>
    <s v="ORD1191"/>
    <x v="7"/>
    <x v="4"/>
    <n v="3"/>
    <n v="6599.12"/>
    <x v="4"/>
    <d v="2026-05-01T00:00:00"/>
    <n v="19797.36"/>
    <x v="3"/>
  </r>
  <r>
    <s v="ORD1192"/>
    <x v="12"/>
    <x v="4"/>
    <n v="4"/>
    <n v="4549.5"/>
    <x v="4"/>
    <d v="2026-05-30T00:00:00"/>
    <n v="18198"/>
    <x v="3"/>
  </r>
  <r>
    <s v="ORD1193"/>
    <x v="5"/>
    <x v="0"/>
    <n v="4"/>
    <n v="5467.96"/>
    <x v="3"/>
    <d v="2026-03-31T00:00:00"/>
    <n v="21871.84"/>
    <x v="0"/>
  </r>
  <r>
    <s v="ORD1194"/>
    <x v="5"/>
    <x v="0"/>
    <n v="3"/>
    <n v="4820.09"/>
    <x v="2"/>
    <d v="2026-02-11T00:00:00"/>
    <n v="14460.27"/>
    <x v="2"/>
  </r>
  <r>
    <s v="ORD1195"/>
    <x v="9"/>
    <x v="3"/>
    <n v="4"/>
    <n v="2595.8000000000002"/>
    <x v="0"/>
    <d v="2026-06-19T00:00:00"/>
    <n v="10383.200000000001"/>
    <x v="4"/>
  </r>
  <r>
    <s v="ORD1196"/>
    <x v="5"/>
    <x v="0"/>
    <n v="5"/>
    <n v="4535.79"/>
    <x v="2"/>
    <d v="2026-03-22T00:00:00"/>
    <n v="22678.95"/>
    <x v="0"/>
  </r>
  <r>
    <s v="ORD1197"/>
    <x v="4"/>
    <x v="3"/>
    <n v="3"/>
    <n v="737.62"/>
    <x v="8"/>
    <d v="2026-05-12T00:00:00"/>
    <n v="2212.86"/>
    <x v="3"/>
  </r>
  <r>
    <s v="ORD1198"/>
    <x v="7"/>
    <x v="4"/>
    <n v="1"/>
    <n v="6704.96"/>
    <x v="1"/>
    <d v="2026-04-29T00:00:00"/>
    <n v="6704.96"/>
    <x v="5"/>
  </r>
  <r>
    <s v="ORD1199"/>
    <x v="5"/>
    <x v="0"/>
    <n v="1"/>
    <n v="4686.6499999999996"/>
    <x v="6"/>
    <d v="2026-06-09T00:00:00"/>
    <n v="4686.6499999999996"/>
    <x v="4"/>
  </r>
  <r>
    <s v="ORD1200"/>
    <x v="10"/>
    <x v="3"/>
    <n v="4"/>
    <n v="2049.14"/>
    <x v="7"/>
    <d v="2026-02-22T00:00:00"/>
    <n v="8196.56"/>
    <x v="2"/>
  </r>
  <r>
    <s v="ORD1201"/>
    <x v="4"/>
    <x v="3"/>
    <n v="5"/>
    <n v="740.04"/>
    <x v="0"/>
    <d v="2026-04-23T00:00:00"/>
    <n v="3700.2"/>
    <x v="5"/>
  </r>
  <r>
    <s v="ORD1202"/>
    <x v="3"/>
    <x v="1"/>
    <n v="4"/>
    <n v="25879.99"/>
    <x v="9"/>
    <d v="2026-03-03T00:00:00"/>
    <n v="103519.96"/>
    <x v="0"/>
  </r>
  <r>
    <s v="ORD1203"/>
    <x v="3"/>
    <x v="1"/>
    <n v="2"/>
    <n v="26940.2"/>
    <x v="7"/>
    <d v="2026-05-22T00:00:00"/>
    <n v="53880.4"/>
    <x v="3"/>
  </r>
  <r>
    <s v="ORD1204"/>
    <x v="5"/>
    <x v="0"/>
    <n v="1"/>
    <n v="4723.76"/>
    <x v="2"/>
    <d v="2026-04-29T00:00:00"/>
    <n v="4723.76"/>
    <x v="5"/>
  </r>
  <r>
    <s v="ORD1205"/>
    <x v="6"/>
    <x v="1"/>
    <n v="2"/>
    <n v="17994.150000000001"/>
    <x v="0"/>
    <d v="2026-05-11T00:00:00"/>
    <n v="35988.300000000003"/>
    <x v="3"/>
  </r>
  <r>
    <s v="ORD1206"/>
    <x v="3"/>
    <x v="1"/>
    <n v="3"/>
    <n v="27526.75"/>
    <x v="3"/>
    <d v="2026-05-01T00:00:00"/>
    <n v="82580.25"/>
    <x v="3"/>
  </r>
  <r>
    <s v="ORD1207"/>
    <x v="1"/>
    <x v="1"/>
    <n v="4"/>
    <n v="1515.38"/>
    <x v="8"/>
    <d v="2026-02-18T00:00:00"/>
    <n v="6061.52"/>
    <x v="2"/>
  </r>
  <r>
    <s v="ORD1208"/>
    <x v="2"/>
    <x v="2"/>
    <n v="5"/>
    <n v="472.17"/>
    <x v="4"/>
    <d v="2026-01-18T00:00:00"/>
    <n v="2360.85"/>
    <x v="1"/>
  </r>
  <r>
    <s v="ORD1209"/>
    <x v="4"/>
    <x v="3"/>
    <n v="4"/>
    <n v="773.41"/>
    <x v="1"/>
    <d v="2026-03-10T00:00:00"/>
    <n v="3093.64"/>
    <x v="0"/>
  </r>
  <r>
    <s v="ORD1210"/>
    <x v="7"/>
    <x v="4"/>
    <n v="1"/>
    <n v="6217.69"/>
    <x v="0"/>
    <d v="2026-05-31T00:00:00"/>
    <n v="6217.69"/>
    <x v="3"/>
  </r>
  <r>
    <s v="ORD1211"/>
    <x v="2"/>
    <x v="2"/>
    <n v="4"/>
    <n v="482.87"/>
    <x v="3"/>
    <d v="2026-05-18T00:00:00"/>
    <n v="1931.48"/>
    <x v="3"/>
  </r>
  <r>
    <s v="ORD1212"/>
    <x v="8"/>
    <x v="4"/>
    <n v="3"/>
    <n v="3382.71"/>
    <x v="1"/>
    <d v="2026-04-07T00:00:00"/>
    <n v="10148.130000000001"/>
    <x v="5"/>
  </r>
  <r>
    <s v="ORD1213"/>
    <x v="8"/>
    <x v="4"/>
    <n v="3"/>
    <n v="3758.72"/>
    <x v="5"/>
    <d v="2026-05-27T00:00:00"/>
    <n v="11276.16"/>
    <x v="3"/>
  </r>
  <r>
    <s v="ORD1214"/>
    <x v="5"/>
    <x v="0"/>
    <n v="2"/>
    <n v="5354.94"/>
    <x v="8"/>
    <d v="2026-01-12T00:00:00"/>
    <n v="10709.88"/>
    <x v="1"/>
  </r>
  <r>
    <s v="ORD1215"/>
    <x v="9"/>
    <x v="3"/>
    <n v="4"/>
    <n v="2601.5700000000002"/>
    <x v="8"/>
    <d v="2026-04-09T00:00:00"/>
    <n v="10406.280000000001"/>
    <x v="5"/>
  </r>
  <r>
    <s v="ORD1216"/>
    <x v="0"/>
    <x v="0"/>
    <n v="2"/>
    <n v="1798.32"/>
    <x v="7"/>
    <d v="2026-02-02T00:00:00"/>
    <n v="3596.64"/>
    <x v="2"/>
  </r>
  <r>
    <s v="ORD1217"/>
    <x v="12"/>
    <x v="4"/>
    <n v="5"/>
    <n v="4058.88"/>
    <x v="2"/>
    <d v="2026-04-23T00:00:00"/>
    <n v="20294.400000000001"/>
    <x v="5"/>
  </r>
  <r>
    <s v="ORD1218"/>
    <x v="6"/>
    <x v="1"/>
    <n v="5"/>
    <n v="19477.59"/>
    <x v="7"/>
    <d v="2026-02-06T00:00:00"/>
    <n v="97387.95"/>
    <x v="2"/>
  </r>
  <r>
    <s v="ORD1219"/>
    <x v="5"/>
    <x v="0"/>
    <n v="2"/>
    <n v="4573.91"/>
    <x v="0"/>
    <d v="2026-03-28T00:00:00"/>
    <n v="9147.82"/>
    <x v="0"/>
  </r>
  <r>
    <s v="ORD1220"/>
    <x v="2"/>
    <x v="2"/>
    <n v="4"/>
    <n v="463.49"/>
    <x v="6"/>
    <d v="2026-06-22T00:00:00"/>
    <n v="1853.96"/>
    <x v="4"/>
  </r>
  <r>
    <s v="ORD1221"/>
    <x v="7"/>
    <x v="4"/>
    <n v="5"/>
    <n v="6344.01"/>
    <x v="6"/>
    <d v="2026-06-10T00:00:00"/>
    <n v="31720.050000000003"/>
    <x v="4"/>
  </r>
  <r>
    <s v="ORD1222"/>
    <x v="3"/>
    <x v="1"/>
    <n v="4"/>
    <n v="30085.34"/>
    <x v="7"/>
    <d v="2026-06-08T00:00:00"/>
    <n v="120341.36"/>
    <x v="4"/>
  </r>
  <r>
    <s v="ORD1223"/>
    <x v="6"/>
    <x v="1"/>
    <n v="2"/>
    <n v="18472.18"/>
    <x v="0"/>
    <d v="2026-02-28T00:00:00"/>
    <n v="36944.36"/>
    <x v="2"/>
  </r>
  <r>
    <s v="ORD1224"/>
    <x v="3"/>
    <x v="1"/>
    <n v="1"/>
    <n v="27630.240000000002"/>
    <x v="2"/>
    <d v="2026-06-12T00:00:00"/>
    <n v="27630.240000000002"/>
    <x v="4"/>
  </r>
  <r>
    <s v="ORD1225"/>
    <x v="3"/>
    <x v="1"/>
    <n v="1"/>
    <n v="27684.6"/>
    <x v="0"/>
    <d v="2026-01-08T00:00:00"/>
    <n v="27684.6"/>
    <x v="1"/>
  </r>
  <r>
    <s v="ORD1226"/>
    <x v="13"/>
    <x v="1"/>
    <n v="3"/>
    <n v="58257.58"/>
    <x v="0"/>
    <d v="2026-04-02T00:00:00"/>
    <n v="174772.74"/>
    <x v="5"/>
  </r>
  <r>
    <s v="ORD1227"/>
    <x v="9"/>
    <x v="3"/>
    <n v="4"/>
    <n v="2321.86"/>
    <x v="1"/>
    <d v="2026-04-16T00:00:00"/>
    <n v="9287.44"/>
    <x v="5"/>
  </r>
  <r>
    <s v="ORD1228"/>
    <x v="2"/>
    <x v="2"/>
    <n v="2"/>
    <n v="420.3"/>
    <x v="2"/>
    <d v="2026-06-06T00:00:00"/>
    <n v="840.6"/>
    <x v="4"/>
  </r>
  <r>
    <s v="ORD1229"/>
    <x v="7"/>
    <x v="4"/>
    <n v="4"/>
    <n v="6655.62"/>
    <x v="5"/>
    <d v="2026-05-08T00:00:00"/>
    <n v="26622.48"/>
    <x v="3"/>
  </r>
  <r>
    <s v="ORD1230"/>
    <x v="2"/>
    <x v="2"/>
    <n v="2"/>
    <n v="425.9"/>
    <x v="0"/>
    <d v="2026-04-28T00:00:00"/>
    <n v="851.8"/>
    <x v="5"/>
  </r>
  <r>
    <s v="ORD1231"/>
    <x v="4"/>
    <x v="3"/>
    <n v="1"/>
    <n v="862.75"/>
    <x v="3"/>
    <d v="2026-03-15T00:00:00"/>
    <n v="862.75"/>
    <x v="0"/>
  </r>
  <r>
    <s v="ORD1232"/>
    <x v="0"/>
    <x v="0"/>
    <n v="5"/>
    <n v="1676.87"/>
    <x v="3"/>
    <d v="2026-03-30T00:00:00"/>
    <n v="8384.3499999999985"/>
    <x v="0"/>
  </r>
  <r>
    <s v="ORD1233"/>
    <x v="2"/>
    <x v="2"/>
    <n v="3"/>
    <n v="462.5"/>
    <x v="8"/>
    <d v="2026-06-26T00:00:00"/>
    <n v="1387.5"/>
    <x v="4"/>
  </r>
  <r>
    <s v="ORD1234"/>
    <x v="4"/>
    <x v="3"/>
    <n v="4"/>
    <n v="854.18"/>
    <x v="5"/>
    <d v="2026-04-09T00:00:00"/>
    <n v="3416.72"/>
    <x v="5"/>
  </r>
  <r>
    <s v="ORD1235"/>
    <x v="7"/>
    <x v="4"/>
    <n v="4"/>
    <n v="5988.65"/>
    <x v="8"/>
    <d v="2026-05-27T00:00:00"/>
    <n v="23954.6"/>
    <x v="3"/>
  </r>
  <r>
    <s v="ORD1236"/>
    <x v="9"/>
    <x v="3"/>
    <n v="5"/>
    <n v="2396.98"/>
    <x v="0"/>
    <d v="2026-01-06T00:00:00"/>
    <n v="11984.9"/>
    <x v="1"/>
  </r>
  <r>
    <s v="ORD1237"/>
    <x v="7"/>
    <x v="4"/>
    <n v="4"/>
    <n v="6206.82"/>
    <x v="9"/>
    <d v="2026-06-25T00:00:00"/>
    <n v="24827.279999999999"/>
    <x v="4"/>
  </r>
  <r>
    <s v="ORD1238"/>
    <x v="10"/>
    <x v="3"/>
    <n v="1"/>
    <n v="2163.16"/>
    <x v="3"/>
    <d v="2026-03-15T00:00:00"/>
    <n v="2163.16"/>
    <x v="0"/>
  </r>
  <r>
    <s v="ORD1239"/>
    <x v="10"/>
    <x v="3"/>
    <n v="2"/>
    <n v="2041.8"/>
    <x v="6"/>
    <d v="2026-02-26T00:00:00"/>
    <n v="4083.6"/>
    <x v="2"/>
  </r>
  <r>
    <s v="ORD1240"/>
    <x v="0"/>
    <x v="0"/>
    <n v="2"/>
    <n v="1843.52"/>
    <x v="4"/>
    <d v="2026-06-10T00:00:00"/>
    <n v="3687.04"/>
    <x v="4"/>
  </r>
  <r>
    <s v="ORD1241"/>
    <x v="6"/>
    <x v="1"/>
    <n v="1"/>
    <n v="17312.16"/>
    <x v="3"/>
    <d v="2026-01-09T00:00:00"/>
    <n v="17312.16"/>
    <x v="1"/>
  </r>
  <r>
    <s v="ORD1242"/>
    <x v="2"/>
    <x v="2"/>
    <n v="3"/>
    <n v="470.91"/>
    <x v="2"/>
    <d v="2026-03-17T00:00:00"/>
    <n v="1412.73"/>
    <x v="0"/>
  </r>
  <r>
    <s v="ORD1243"/>
    <x v="9"/>
    <x v="3"/>
    <n v="4"/>
    <n v="2336.88"/>
    <x v="4"/>
    <d v="2026-05-19T00:00:00"/>
    <n v="9347.52"/>
    <x v="3"/>
  </r>
  <r>
    <s v="ORD1244"/>
    <x v="9"/>
    <x v="3"/>
    <n v="5"/>
    <n v="2499.9"/>
    <x v="0"/>
    <d v="2026-02-12T00:00:00"/>
    <n v="12499.5"/>
    <x v="2"/>
  </r>
  <r>
    <s v="ORD1245"/>
    <x v="4"/>
    <x v="3"/>
    <n v="4"/>
    <n v="873.69"/>
    <x v="0"/>
    <d v="2026-03-28T00:00:00"/>
    <n v="3494.76"/>
    <x v="0"/>
  </r>
  <r>
    <s v="ORD1246"/>
    <x v="10"/>
    <x v="3"/>
    <n v="1"/>
    <n v="1986.34"/>
    <x v="2"/>
    <d v="2026-02-06T00:00:00"/>
    <n v="1986.34"/>
    <x v="2"/>
  </r>
  <r>
    <s v="ORD1247"/>
    <x v="10"/>
    <x v="3"/>
    <n v="2"/>
    <n v="2142.98"/>
    <x v="8"/>
    <d v="2026-05-23T00:00:00"/>
    <n v="4285.96"/>
    <x v="3"/>
  </r>
  <r>
    <s v="ORD1248"/>
    <x v="9"/>
    <x v="3"/>
    <n v="1"/>
    <n v="2644.28"/>
    <x v="7"/>
    <d v="2026-03-09T00:00:00"/>
    <n v="2644.28"/>
    <x v="0"/>
  </r>
  <r>
    <s v="ORD1249"/>
    <x v="12"/>
    <x v="4"/>
    <n v="1"/>
    <n v="4162.0200000000004"/>
    <x v="0"/>
    <d v="2026-05-30T00:00:00"/>
    <n v="4162.0200000000004"/>
    <x v="3"/>
  </r>
  <r>
    <s v="ORD1250"/>
    <x v="5"/>
    <x v="0"/>
    <n v="3"/>
    <n v="4607.42"/>
    <x v="5"/>
    <d v="2026-05-01T00:00:00"/>
    <n v="13822.26"/>
    <x v="3"/>
  </r>
  <r>
    <s v="ORD1251"/>
    <x v="13"/>
    <x v="1"/>
    <n v="5"/>
    <n v="59226.58"/>
    <x v="1"/>
    <d v="2026-03-25T00:00:00"/>
    <n v="296132.90000000002"/>
    <x v="0"/>
  </r>
  <r>
    <s v="ORD1252"/>
    <x v="2"/>
    <x v="2"/>
    <n v="2"/>
    <n v="463.29"/>
    <x v="3"/>
    <d v="2026-06-29T00:00:00"/>
    <n v="926.58"/>
    <x v="4"/>
  </r>
  <r>
    <s v="ORD1253"/>
    <x v="4"/>
    <x v="3"/>
    <n v="4"/>
    <n v="737.74"/>
    <x v="7"/>
    <d v="2026-01-10T00:00:00"/>
    <n v="2950.96"/>
    <x v="1"/>
  </r>
  <r>
    <s v="ORD1254"/>
    <x v="4"/>
    <x v="3"/>
    <n v="4"/>
    <n v="737.66"/>
    <x v="5"/>
    <d v="2026-05-18T00:00:00"/>
    <n v="2950.64"/>
    <x v="3"/>
  </r>
  <r>
    <s v="ORD1255"/>
    <x v="11"/>
    <x v="1"/>
    <n v="4"/>
    <n v="2179.6"/>
    <x v="1"/>
    <d v="2026-04-18T00:00:00"/>
    <n v="8718.4"/>
    <x v="5"/>
  </r>
  <r>
    <s v="ORD1256"/>
    <x v="2"/>
    <x v="2"/>
    <n v="2"/>
    <n v="484.69"/>
    <x v="2"/>
    <d v="2026-05-06T00:00:00"/>
    <n v="969.38"/>
    <x v="3"/>
  </r>
  <r>
    <s v="ORD1257"/>
    <x v="2"/>
    <x v="2"/>
    <n v="4"/>
    <n v="489.51"/>
    <x v="0"/>
    <d v="2026-01-09T00:00:00"/>
    <n v="1958.04"/>
    <x v="1"/>
  </r>
  <r>
    <s v="ORD1258"/>
    <x v="3"/>
    <x v="1"/>
    <n v="3"/>
    <n v="26416.71"/>
    <x v="3"/>
    <d v="2026-03-02T00:00:00"/>
    <n v="79250.13"/>
    <x v="0"/>
  </r>
  <r>
    <s v="ORD1259"/>
    <x v="7"/>
    <x v="4"/>
    <n v="3"/>
    <n v="5979.16"/>
    <x v="6"/>
    <d v="2026-05-20T00:00:00"/>
    <n v="17937.48"/>
    <x v="3"/>
  </r>
  <r>
    <s v="ORD1260"/>
    <x v="0"/>
    <x v="0"/>
    <n v="3"/>
    <n v="1641.8"/>
    <x v="0"/>
    <d v="2026-02-18T00:00:00"/>
    <n v="4925.3999999999996"/>
    <x v="2"/>
  </r>
  <r>
    <s v="ORD1261"/>
    <x v="6"/>
    <x v="1"/>
    <n v="4"/>
    <n v="16530.02"/>
    <x v="5"/>
    <d v="2026-06-14T00:00:00"/>
    <n v="66120.08"/>
    <x v="4"/>
  </r>
  <r>
    <s v="ORD1262"/>
    <x v="0"/>
    <x v="0"/>
    <n v="5"/>
    <n v="1969.59"/>
    <x v="7"/>
    <d v="2026-03-27T00:00:00"/>
    <n v="9847.9499999999989"/>
    <x v="0"/>
  </r>
  <r>
    <s v="ORD1263"/>
    <x v="1"/>
    <x v="1"/>
    <n v="2"/>
    <n v="1586.09"/>
    <x v="5"/>
    <d v="2026-01-18T00:00:00"/>
    <n v="3172.18"/>
    <x v="1"/>
  </r>
  <r>
    <s v="ORD1264"/>
    <x v="7"/>
    <x v="4"/>
    <n v="5"/>
    <n v="6119.3"/>
    <x v="5"/>
    <d v="2026-03-01T00:00:00"/>
    <n v="30596.5"/>
    <x v="0"/>
  </r>
  <r>
    <s v="ORD1265"/>
    <x v="9"/>
    <x v="3"/>
    <n v="2"/>
    <n v="2643.26"/>
    <x v="9"/>
    <d v="2026-01-01T00:00:00"/>
    <n v="5286.52"/>
    <x v="1"/>
  </r>
  <r>
    <s v="ORD1266"/>
    <x v="4"/>
    <x v="3"/>
    <n v="2"/>
    <n v="876.91"/>
    <x v="1"/>
    <d v="2026-03-06T00:00:00"/>
    <n v="1753.82"/>
    <x v="0"/>
  </r>
  <r>
    <s v="ORD1267"/>
    <x v="10"/>
    <x v="3"/>
    <n v="2"/>
    <n v="1843.05"/>
    <x v="7"/>
    <d v="2026-02-03T00:00:00"/>
    <n v="3686.1"/>
    <x v="2"/>
  </r>
  <r>
    <s v="ORD1268"/>
    <x v="13"/>
    <x v="1"/>
    <n v="3"/>
    <n v="58189.83"/>
    <x v="5"/>
    <d v="2026-05-31T00:00:00"/>
    <n v="174569.49"/>
    <x v="3"/>
  </r>
  <r>
    <s v="ORD1269"/>
    <x v="9"/>
    <x v="3"/>
    <n v="1"/>
    <n v="2336.19"/>
    <x v="7"/>
    <d v="2026-02-02T00:00:00"/>
    <n v="2336.19"/>
    <x v="2"/>
  </r>
  <r>
    <s v="ORD1270"/>
    <x v="3"/>
    <x v="1"/>
    <n v="4"/>
    <n v="28146.080000000002"/>
    <x v="2"/>
    <d v="2026-05-02T00:00:00"/>
    <n v="112584.32000000001"/>
    <x v="3"/>
  </r>
  <r>
    <s v="ORD1271"/>
    <x v="8"/>
    <x v="4"/>
    <n v="3"/>
    <n v="3509.27"/>
    <x v="2"/>
    <d v="2026-04-26T00:00:00"/>
    <n v="10527.81"/>
    <x v="5"/>
  </r>
  <r>
    <s v="ORD1272"/>
    <x v="12"/>
    <x v="4"/>
    <n v="2"/>
    <n v="4574.1499999999996"/>
    <x v="7"/>
    <d v="2026-06-18T00:00:00"/>
    <n v="9148.2999999999993"/>
    <x v="4"/>
  </r>
  <r>
    <s v="ORD1273"/>
    <x v="12"/>
    <x v="4"/>
    <n v="3"/>
    <n v="4164.76"/>
    <x v="7"/>
    <d v="2026-01-16T00:00:00"/>
    <n v="12494.28"/>
    <x v="1"/>
  </r>
  <r>
    <s v="ORD1274"/>
    <x v="8"/>
    <x v="4"/>
    <n v="4"/>
    <n v="3448.39"/>
    <x v="2"/>
    <d v="2026-05-06T00:00:00"/>
    <n v="13793.56"/>
    <x v="3"/>
  </r>
  <r>
    <s v="ORD1275"/>
    <x v="3"/>
    <x v="1"/>
    <n v="4"/>
    <n v="25611.55"/>
    <x v="2"/>
    <d v="2026-03-24T00:00:00"/>
    <n v="102446.2"/>
    <x v="0"/>
  </r>
  <r>
    <s v="ORD1276"/>
    <x v="2"/>
    <x v="2"/>
    <n v="2"/>
    <n v="410.91"/>
    <x v="0"/>
    <d v="2026-06-09T00:00:00"/>
    <n v="821.82"/>
    <x v="4"/>
  </r>
  <r>
    <s v="ORD1277"/>
    <x v="0"/>
    <x v="0"/>
    <n v="5"/>
    <n v="1817.41"/>
    <x v="6"/>
    <d v="2026-04-08T00:00:00"/>
    <n v="9087.0500000000011"/>
    <x v="5"/>
  </r>
  <r>
    <s v="ORD1278"/>
    <x v="2"/>
    <x v="2"/>
    <n v="5"/>
    <n v="431.54"/>
    <x v="1"/>
    <d v="2026-06-04T00:00:00"/>
    <n v="2157.7000000000003"/>
    <x v="4"/>
  </r>
  <r>
    <s v="ORD1279"/>
    <x v="5"/>
    <x v="0"/>
    <n v="1"/>
    <n v="5292.04"/>
    <x v="2"/>
    <d v="2026-06-17T00:00:00"/>
    <n v="5292.04"/>
    <x v="4"/>
  </r>
  <r>
    <s v="ORD1280"/>
    <x v="0"/>
    <x v="0"/>
    <n v="5"/>
    <n v="1879.5"/>
    <x v="5"/>
    <d v="2026-04-21T00:00:00"/>
    <n v="9397.5"/>
    <x v="5"/>
  </r>
  <r>
    <s v="ORD1281"/>
    <x v="8"/>
    <x v="4"/>
    <n v="2"/>
    <n v="3439.67"/>
    <x v="3"/>
    <d v="2026-04-13T00:00:00"/>
    <n v="6879.34"/>
    <x v="5"/>
  </r>
  <r>
    <s v="ORD1282"/>
    <x v="5"/>
    <x v="0"/>
    <n v="1"/>
    <n v="4811.59"/>
    <x v="6"/>
    <d v="2026-06-20T00:00:00"/>
    <n v="4811.59"/>
    <x v="4"/>
  </r>
  <r>
    <s v="ORD1283"/>
    <x v="4"/>
    <x v="3"/>
    <n v="3"/>
    <n v="871.48"/>
    <x v="3"/>
    <d v="2026-01-18T00:00:00"/>
    <n v="2614.44"/>
    <x v="1"/>
  </r>
  <r>
    <s v="ORD1284"/>
    <x v="6"/>
    <x v="1"/>
    <n v="1"/>
    <n v="16535.63"/>
    <x v="2"/>
    <d v="2026-04-06T00:00:00"/>
    <n v="16535.63"/>
    <x v="5"/>
  </r>
  <r>
    <s v="ORD1285"/>
    <x v="10"/>
    <x v="3"/>
    <n v="2"/>
    <n v="2021.54"/>
    <x v="9"/>
    <d v="2026-05-24T00:00:00"/>
    <n v="4043.08"/>
    <x v="3"/>
  </r>
  <r>
    <s v="ORD1286"/>
    <x v="12"/>
    <x v="4"/>
    <n v="3"/>
    <n v="4342.8100000000004"/>
    <x v="8"/>
    <d v="2026-04-01T00:00:00"/>
    <n v="13028.43"/>
    <x v="5"/>
  </r>
  <r>
    <s v="ORD1287"/>
    <x v="7"/>
    <x v="4"/>
    <n v="4"/>
    <n v="6978.52"/>
    <x v="7"/>
    <d v="2026-03-15T00:00:00"/>
    <n v="27914.080000000002"/>
    <x v="0"/>
  </r>
  <r>
    <s v="ORD1288"/>
    <x v="2"/>
    <x v="2"/>
    <n v="3"/>
    <n v="436.65"/>
    <x v="9"/>
    <d v="2026-05-10T00:00:00"/>
    <n v="1309.9499999999998"/>
    <x v="3"/>
  </r>
  <r>
    <s v="ORD1289"/>
    <x v="1"/>
    <x v="1"/>
    <n v="2"/>
    <n v="1547.02"/>
    <x v="5"/>
    <d v="2026-01-28T00:00:00"/>
    <n v="3094.04"/>
    <x v="1"/>
  </r>
  <r>
    <s v="ORD1290"/>
    <x v="9"/>
    <x v="3"/>
    <n v="5"/>
    <n v="2432.81"/>
    <x v="0"/>
    <d v="2026-05-27T00:00:00"/>
    <n v="12164.05"/>
    <x v="3"/>
  </r>
  <r>
    <s v="ORD1291"/>
    <x v="1"/>
    <x v="1"/>
    <n v="4"/>
    <n v="1603.55"/>
    <x v="9"/>
    <d v="2026-06-07T00:00:00"/>
    <n v="6414.2"/>
    <x v="4"/>
  </r>
  <r>
    <s v="ORD1292"/>
    <x v="0"/>
    <x v="0"/>
    <n v="5"/>
    <n v="1629.45"/>
    <x v="0"/>
    <d v="2026-01-08T00:00:00"/>
    <n v="8147.25"/>
    <x v="1"/>
  </r>
  <r>
    <s v="ORD1293"/>
    <x v="11"/>
    <x v="1"/>
    <n v="3"/>
    <n v="2289.19"/>
    <x v="0"/>
    <d v="2026-03-28T00:00:00"/>
    <n v="6867.57"/>
    <x v="0"/>
  </r>
  <r>
    <s v="ORD1294"/>
    <x v="9"/>
    <x v="3"/>
    <n v="1"/>
    <n v="2339.77"/>
    <x v="4"/>
    <d v="2026-05-25T00:00:00"/>
    <n v="2339.77"/>
    <x v="3"/>
  </r>
  <r>
    <s v="ORD1295"/>
    <x v="0"/>
    <x v="0"/>
    <n v="4"/>
    <n v="1645.05"/>
    <x v="7"/>
    <d v="2026-01-24T00:00:00"/>
    <n v="6580.2"/>
    <x v="1"/>
  </r>
  <r>
    <s v="ORD1296"/>
    <x v="3"/>
    <x v="1"/>
    <n v="5"/>
    <n v="26404.74"/>
    <x v="8"/>
    <d v="2026-04-27T00:00:00"/>
    <n v="132023.70000000001"/>
    <x v="5"/>
  </r>
  <r>
    <s v="ORD1297"/>
    <x v="9"/>
    <x v="3"/>
    <n v="2"/>
    <n v="2434.0500000000002"/>
    <x v="6"/>
    <d v="2026-05-26T00:00:00"/>
    <n v="4868.1000000000004"/>
    <x v="3"/>
  </r>
  <r>
    <s v="ORD1298"/>
    <x v="2"/>
    <x v="2"/>
    <n v="1"/>
    <n v="484.5"/>
    <x v="4"/>
    <d v="2026-02-10T00:00:00"/>
    <n v="484.5"/>
    <x v="2"/>
  </r>
  <r>
    <s v="ORD1299"/>
    <x v="10"/>
    <x v="3"/>
    <n v="5"/>
    <n v="1819"/>
    <x v="2"/>
    <d v="2026-03-11T00:00:00"/>
    <n v="9095"/>
    <x v="0"/>
  </r>
  <r>
    <s v="ORD1300"/>
    <x v="8"/>
    <x v="4"/>
    <n v="4"/>
    <n v="3489.96"/>
    <x v="3"/>
    <d v="2026-04-17T00:00:00"/>
    <n v="13959.84"/>
    <x v="5"/>
  </r>
  <r>
    <s v="ORD1301"/>
    <x v="4"/>
    <x v="3"/>
    <n v="2"/>
    <n v="839.74"/>
    <x v="2"/>
    <d v="2026-03-30T00:00:00"/>
    <n v="1679.48"/>
    <x v="0"/>
  </r>
  <r>
    <s v="ORD1302"/>
    <x v="5"/>
    <x v="0"/>
    <n v="1"/>
    <n v="4782.29"/>
    <x v="9"/>
    <d v="2026-05-05T00:00:00"/>
    <n v="4782.29"/>
    <x v="3"/>
  </r>
  <r>
    <s v="ORD1303"/>
    <x v="12"/>
    <x v="4"/>
    <n v="3"/>
    <n v="3818.15"/>
    <x v="8"/>
    <d v="2026-06-03T00:00:00"/>
    <n v="11454.45"/>
    <x v="4"/>
  </r>
  <r>
    <s v="ORD1304"/>
    <x v="13"/>
    <x v="1"/>
    <n v="1"/>
    <n v="51748.65"/>
    <x v="5"/>
    <d v="2026-02-05T00:00:00"/>
    <n v="51748.65"/>
    <x v="2"/>
  </r>
  <r>
    <s v="ORD1305"/>
    <x v="10"/>
    <x v="3"/>
    <n v="3"/>
    <n v="1914.82"/>
    <x v="2"/>
    <d v="2026-01-02T00:00:00"/>
    <n v="5744.46"/>
    <x v="1"/>
  </r>
  <r>
    <s v="ORD1306"/>
    <x v="8"/>
    <x v="4"/>
    <n v="4"/>
    <n v="3272.99"/>
    <x v="8"/>
    <d v="2026-05-17T00:00:00"/>
    <n v="13091.96"/>
    <x v="3"/>
  </r>
  <r>
    <s v="ORD1307"/>
    <x v="3"/>
    <x v="1"/>
    <n v="2"/>
    <n v="28001.47"/>
    <x v="6"/>
    <d v="2026-01-19T00:00:00"/>
    <n v="56002.94"/>
    <x v="1"/>
  </r>
  <r>
    <s v="ORD1308"/>
    <x v="5"/>
    <x v="0"/>
    <n v="1"/>
    <n v="4935.2299999999996"/>
    <x v="3"/>
    <d v="2026-01-20T00:00:00"/>
    <n v="4935.2299999999996"/>
    <x v="1"/>
  </r>
  <r>
    <s v="ORD1309"/>
    <x v="7"/>
    <x v="4"/>
    <n v="3"/>
    <n v="6598.49"/>
    <x v="9"/>
    <d v="2026-04-14T00:00:00"/>
    <n v="19795.47"/>
    <x v="5"/>
  </r>
  <r>
    <s v="ORD1310"/>
    <x v="3"/>
    <x v="1"/>
    <n v="4"/>
    <n v="26821.29"/>
    <x v="8"/>
    <d v="2026-01-06T00:00:00"/>
    <n v="107285.16"/>
    <x v="1"/>
  </r>
  <r>
    <s v="ORD1311"/>
    <x v="9"/>
    <x v="3"/>
    <n v="2"/>
    <n v="2649.6"/>
    <x v="9"/>
    <d v="2026-04-28T00:00:00"/>
    <n v="5299.2"/>
    <x v="5"/>
  </r>
  <r>
    <s v="ORD1312"/>
    <x v="7"/>
    <x v="4"/>
    <n v="3"/>
    <n v="5964.57"/>
    <x v="2"/>
    <d v="2026-03-04T00:00:00"/>
    <n v="17893.71"/>
    <x v="0"/>
  </r>
  <r>
    <s v="ORD1313"/>
    <x v="5"/>
    <x v="0"/>
    <n v="5"/>
    <n v="4899.47"/>
    <x v="2"/>
    <d v="2026-04-12T00:00:00"/>
    <n v="24497.350000000002"/>
    <x v="5"/>
  </r>
  <r>
    <s v="ORD1314"/>
    <x v="7"/>
    <x v="4"/>
    <n v="3"/>
    <n v="6819.55"/>
    <x v="5"/>
    <d v="2026-03-27T00:00:00"/>
    <n v="20458.650000000001"/>
    <x v="0"/>
  </r>
  <r>
    <s v="ORD1315"/>
    <x v="10"/>
    <x v="3"/>
    <n v="2"/>
    <n v="1829.64"/>
    <x v="2"/>
    <d v="2026-05-16T00:00:00"/>
    <n v="3659.28"/>
    <x v="3"/>
  </r>
  <r>
    <s v="ORD1316"/>
    <x v="12"/>
    <x v="4"/>
    <n v="2"/>
    <n v="4540.9799999999996"/>
    <x v="6"/>
    <d v="2026-03-31T00:00:00"/>
    <n v="9081.9599999999991"/>
    <x v="0"/>
  </r>
  <r>
    <s v="ORD1317"/>
    <x v="3"/>
    <x v="1"/>
    <n v="2"/>
    <n v="26523.11"/>
    <x v="4"/>
    <d v="2026-03-07T00:00:00"/>
    <n v="53046.22"/>
    <x v="0"/>
  </r>
  <r>
    <s v="ORD1318"/>
    <x v="1"/>
    <x v="1"/>
    <n v="2"/>
    <n v="1530.72"/>
    <x v="2"/>
    <d v="2026-02-15T00:00:00"/>
    <n v="3061.44"/>
    <x v="2"/>
  </r>
  <r>
    <s v="ORD1319"/>
    <x v="10"/>
    <x v="3"/>
    <n v="4"/>
    <n v="1984.59"/>
    <x v="9"/>
    <d v="2026-05-29T00:00:00"/>
    <n v="7938.36"/>
    <x v="3"/>
  </r>
  <r>
    <s v="ORD1320"/>
    <x v="8"/>
    <x v="4"/>
    <n v="5"/>
    <n v="3600.09"/>
    <x v="9"/>
    <d v="2026-03-24T00:00:00"/>
    <n v="18000.45"/>
    <x v="0"/>
  </r>
  <r>
    <s v="ORD1321"/>
    <x v="7"/>
    <x v="4"/>
    <n v="3"/>
    <n v="6046.24"/>
    <x v="2"/>
    <d v="2026-05-01T00:00:00"/>
    <n v="18138.72"/>
    <x v="3"/>
  </r>
  <r>
    <s v="ORD1322"/>
    <x v="8"/>
    <x v="4"/>
    <n v="3"/>
    <n v="3707.43"/>
    <x v="9"/>
    <d v="2026-01-15T00:00:00"/>
    <n v="11122.289999999999"/>
    <x v="1"/>
  </r>
  <r>
    <s v="ORD1323"/>
    <x v="9"/>
    <x v="3"/>
    <n v="5"/>
    <n v="2286.1799999999998"/>
    <x v="3"/>
    <d v="2026-04-26T00:00:00"/>
    <n v="11430.9"/>
    <x v="5"/>
  </r>
  <r>
    <s v="ORD1324"/>
    <x v="13"/>
    <x v="1"/>
    <n v="1"/>
    <n v="53556.11"/>
    <x v="0"/>
    <d v="2026-01-20T00:00:00"/>
    <n v="53556.11"/>
    <x v="1"/>
  </r>
  <r>
    <s v="ORD1325"/>
    <x v="0"/>
    <x v="0"/>
    <n v="1"/>
    <n v="1841.4"/>
    <x v="1"/>
    <d v="2026-04-09T00:00:00"/>
    <n v="1841.4"/>
    <x v="5"/>
  </r>
  <r>
    <s v="ORD1326"/>
    <x v="8"/>
    <x v="4"/>
    <n v="5"/>
    <n v="3538.02"/>
    <x v="7"/>
    <d v="2026-04-26T00:00:00"/>
    <n v="17690.099999999999"/>
    <x v="5"/>
  </r>
  <r>
    <s v="ORD1327"/>
    <x v="10"/>
    <x v="3"/>
    <n v="5"/>
    <n v="2059.6999999999998"/>
    <x v="6"/>
    <d v="2026-06-04T00:00:00"/>
    <n v="10298.5"/>
    <x v="4"/>
  </r>
  <r>
    <s v="ORD1328"/>
    <x v="8"/>
    <x v="4"/>
    <n v="5"/>
    <n v="3255.6"/>
    <x v="7"/>
    <d v="2026-04-26T00:00:00"/>
    <n v="16278"/>
    <x v="5"/>
  </r>
  <r>
    <s v="ORD1329"/>
    <x v="6"/>
    <x v="1"/>
    <n v="3"/>
    <n v="19736.59"/>
    <x v="2"/>
    <d v="2026-05-10T00:00:00"/>
    <n v="59209.770000000004"/>
    <x v="3"/>
  </r>
  <r>
    <s v="ORD1330"/>
    <x v="0"/>
    <x v="0"/>
    <n v="2"/>
    <n v="1634.09"/>
    <x v="3"/>
    <d v="2026-04-23T00:00:00"/>
    <n v="3268.18"/>
    <x v="5"/>
  </r>
  <r>
    <s v="ORD1331"/>
    <x v="12"/>
    <x v="4"/>
    <n v="5"/>
    <n v="4292.24"/>
    <x v="6"/>
    <d v="2026-04-06T00:00:00"/>
    <n v="21461.199999999997"/>
    <x v="5"/>
  </r>
  <r>
    <s v="ORD1332"/>
    <x v="4"/>
    <x v="3"/>
    <n v="4"/>
    <n v="784.42"/>
    <x v="6"/>
    <d v="2026-06-23T00:00:00"/>
    <n v="3137.68"/>
    <x v="4"/>
  </r>
  <r>
    <s v="ORD1333"/>
    <x v="2"/>
    <x v="2"/>
    <n v="1"/>
    <n v="476.03"/>
    <x v="6"/>
    <d v="2026-01-17T00:00:00"/>
    <n v="476.03"/>
    <x v="1"/>
  </r>
  <r>
    <s v="ORD1334"/>
    <x v="9"/>
    <x v="3"/>
    <n v="1"/>
    <n v="2527.9699999999998"/>
    <x v="8"/>
    <d v="2026-03-14T00:00:00"/>
    <n v="2527.9699999999998"/>
    <x v="0"/>
  </r>
  <r>
    <s v="ORD1335"/>
    <x v="4"/>
    <x v="3"/>
    <n v="5"/>
    <n v="858.65"/>
    <x v="6"/>
    <d v="2026-01-21T00:00:00"/>
    <n v="4293.25"/>
    <x v="1"/>
  </r>
  <r>
    <s v="ORD1336"/>
    <x v="2"/>
    <x v="2"/>
    <n v="2"/>
    <n v="487.51"/>
    <x v="0"/>
    <d v="2026-06-17T00:00:00"/>
    <n v="975.02"/>
    <x v="4"/>
  </r>
  <r>
    <s v="ORD1337"/>
    <x v="3"/>
    <x v="1"/>
    <n v="4"/>
    <n v="25922.13"/>
    <x v="2"/>
    <d v="2026-03-21T00:00:00"/>
    <n v="103688.52"/>
    <x v="0"/>
  </r>
  <r>
    <s v="ORD1338"/>
    <x v="12"/>
    <x v="4"/>
    <n v="4"/>
    <n v="4320.53"/>
    <x v="6"/>
    <d v="2026-02-02T00:00:00"/>
    <n v="17282.12"/>
    <x v="2"/>
  </r>
  <r>
    <s v="ORD1339"/>
    <x v="0"/>
    <x v="0"/>
    <n v="5"/>
    <n v="1653.64"/>
    <x v="8"/>
    <d v="2026-05-11T00:00:00"/>
    <n v="8268.2000000000007"/>
    <x v="3"/>
  </r>
  <r>
    <s v="ORD1340"/>
    <x v="9"/>
    <x v="3"/>
    <n v="1"/>
    <n v="2430.33"/>
    <x v="4"/>
    <d v="2026-02-24T00:00:00"/>
    <n v="2430.33"/>
    <x v="2"/>
  </r>
  <r>
    <s v="ORD1341"/>
    <x v="9"/>
    <x v="3"/>
    <n v="4"/>
    <n v="2345.06"/>
    <x v="4"/>
    <d v="2026-02-09T00:00:00"/>
    <n v="9380.24"/>
    <x v="2"/>
  </r>
  <r>
    <s v="ORD1342"/>
    <x v="6"/>
    <x v="1"/>
    <n v="3"/>
    <n v="19239.939999999999"/>
    <x v="2"/>
    <d v="2026-05-10T00:00:00"/>
    <n v="57719.819999999992"/>
    <x v="3"/>
  </r>
  <r>
    <s v="ORD1343"/>
    <x v="10"/>
    <x v="3"/>
    <n v="5"/>
    <n v="2132.98"/>
    <x v="1"/>
    <d v="2026-01-10T00:00:00"/>
    <n v="10664.9"/>
    <x v="1"/>
  </r>
  <r>
    <s v="ORD1344"/>
    <x v="0"/>
    <x v="0"/>
    <n v="3"/>
    <n v="1935.5"/>
    <x v="9"/>
    <d v="2026-02-03T00:00:00"/>
    <n v="5806.5"/>
    <x v="2"/>
  </r>
  <r>
    <s v="ORD1345"/>
    <x v="2"/>
    <x v="2"/>
    <n v="4"/>
    <n v="418.88"/>
    <x v="4"/>
    <d v="2026-06-27T00:00:00"/>
    <n v="1675.52"/>
    <x v="4"/>
  </r>
  <r>
    <s v="ORD1346"/>
    <x v="10"/>
    <x v="3"/>
    <n v="5"/>
    <n v="2122.56"/>
    <x v="4"/>
    <d v="2026-04-23T00:00:00"/>
    <n v="10612.8"/>
    <x v="5"/>
  </r>
  <r>
    <s v="ORD1347"/>
    <x v="13"/>
    <x v="1"/>
    <n v="4"/>
    <n v="53507.29"/>
    <x v="5"/>
    <d v="2026-04-24T00:00:00"/>
    <n v="214029.16"/>
    <x v="5"/>
  </r>
  <r>
    <s v="ORD1348"/>
    <x v="2"/>
    <x v="2"/>
    <n v="3"/>
    <n v="472.72"/>
    <x v="3"/>
    <d v="2026-03-01T00:00:00"/>
    <n v="1418.16"/>
    <x v="0"/>
  </r>
  <r>
    <s v="ORD1349"/>
    <x v="12"/>
    <x v="4"/>
    <n v="2"/>
    <n v="4039.95"/>
    <x v="3"/>
    <d v="2026-02-19T00:00:00"/>
    <n v="8079.9"/>
    <x v="2"/>
  </r>
  <r>
    <s v="ORD1350"/>
    <x v="9"/>
    <x v="3"/>
    <n v="5"/>
    <n v="2741.12"/>
    <x v="3"/>
    <d v="2026-03-14T00:00:00"/>
    <n v="13705.599999999999"/>
    <x v="0"/>
  </r>
  <r>
    <s v="ORD1351"/>
    <x v="10"/>
    <x v="3"/>
    <n v="4"/>
    <n v="2000.16"/>
    <x v="8"/>
    <d v="2026-02-11T00:00:00"/>
    <n v="8000.64"/>
    <x v="2"/>
  </r>
  <r>
    <s v="ORD1352"/>
    <x v="7"/>
    <x v="4"/>
    <n v="2"/>
    <n v="6891.64"/>
    <x v="4"/>
    <d v="2026-03-06T00:00:00"/>
    <n v="13783.28"/>
    <x v="0"/>
  </r>
  <r>
    <s v="ORD1353"/>
    <x v="13"/>
    <x v="1"/>
    <n v="4"/>
    <n v="59115.29"/>
    <x v="1"/>
    <d v="2026-01-27T00:00:00"/>
    <n v="236461.16"/>
    <x v="1"/>
  </r>
  <r>
    <s v="ORD1354"/>
    <x v="3"/>
    <x v="1"/>
    <n v="5"/>
    <n v="29966.53"/>
    <x v="0"/>
    <d v="2026-01-22T00:00:00"/>
    <n v="149832.65"/>
    <x v="1"/>
  </r>
  <r>
    <s v="ORD1355"/>
    <x v="10"/>
    <x v="3"/>
    <n v="2"/>
    <n v="1908.16"/>
    <x v="1"/>
    <d v="2026-02-07T00:00:00"/>
    <n v="3816.32"/>
    <x v="2"/>
  </r>
  <r>
    <s v="ORD1356"/>
    <x v="7"/>
    <x v="4"/>
    <n v="4"/>
    <n v="5969.23"/>
    <x v="5"/>
    <d v="2026-04-26T00:00:00"/>
    <n v="23876.92"/>
    <x v="5"/>
  </r>
  <r>
    <s v="ORD1357"/>
    <x v="9"/>
    <x v="3"/>
    <n v="1"/>
    <n v="2456.4699999999998"/>
    <x v="8"/>
    <d v="2026-05-09T00:00:00"/>
    <n v="2456.4699999999998"/>
    <x v="3"/>
  </r>
  <r>
    <s v="ORD1358"/>
    <x v="9"/>
    <x v="3"/>
    <n v="2"/>
    <n v="2442.11"/>
    <x v="2"/>
    <d v="2026-04-06T00:00:00"/>
    <n v="4884.22"/>
    <x v="5"/>
  </r>
  <r>
    <s v="ORD1359"/>
    <x v="1"/>
    <x v="1"/>
    <n v="1"/>
    <n v="1445.61"/>
    <x v="2"/>
    <d v="2026-06-16T00:00:00"/>
    <n v="1445.61"/>
    <x v="4"/>
  </r>
  <r>
    <s v="ORD1360"/>
    <x v="9"/>
    <x v="3"/>
    <n v="2"/>
    <n v="2317.87"/>
    <x v="0"/>
    <d v="2026-05-01T00:00:00"/>
    <n v="4635.74"/>
    <x v="3"/>
  </r>
  <r>
    <s v="ORD1361"/>
    <x v="3"/>
    <x v="1"/>
    <n v="2"/>
    <n v="29449.51"/>
    <x v="3"/>
    <d v="2026-04-25T00:00:00"/>
    <n v="58899.02"/>
    <x v="5"/>
  </r>
  <r>
    <s v="ORD1362"/>
    <x v="2"/>
    <x v="2"/>
    <n v="1"/>
    <n v="486.53"/>
    <x v="7"/>
    <d v="2026-03-07T00:00:00"/>
    <n v="486.53"/>
    <x v="0"/>
  </r>
  <r>
    <s v="ORD1363"/>
    <x v="1"/>
    <x v="1"/>
    <n v="2"/>
    <n v="1514.64"/>
    <x v="9"/>
    <d v="2026-05-16T00:00:00"/>
    <n v="3029.28"/>
    <x v="3"/>
  </r>
  <r>
    <s v="ORD1364"/>
    <x v="5"/>
    <x v="0"/>
    <n v="1"/>
    <n v="5275.12"/>
    <x v="5"/>
    <d v="2026-03-19T00:00:00"/>
    <n v="5275.12"/>
    <x v="0"/>
  </r>
  <r>
    <s v="ORD1365"/>
    <x v="6"/>
    <x v="1"/>
    <n v="1"/>
    <n v="17058.38"/>
    <x v="9"/>
    <d v="2026-04-28T00:00:00"/>
    <n v="17058.38"/>
    <x v="5"/>
  </r>
  <r>
    <s v="ORD1366"/>
    <x v="6"/>
    <x v="1"/>
    <n v="1"/>
    <n v="19212.080000000002"/>
    <x v="3"/>
    <d v="2026-06-02T00:00:00"/>
    <n v="19212.080000000002"/>
    <x v="4"/>
  </r>
  <r>
    <s v="ORD1367"/>
    <x v="12"/>
    <x v="4"/>
    <n v="1"/>
    <n v="4310.84"/>
    <x v="9"/>
    <d v="2026-03-03T00:00:00"/>
    <n v="4310.84"/>
    <x v="0"/>
  </r>
  <r>
    <s v="ORD1368"/>
    <x v="3"/>
    <x v="1"/>
    <n v="2"/>
    <n v="26831.119999999999"/>
    <x v="7"/>
    <d v="2026-06-07T00:00:00"/>
    <n v="53662.239999999998"/>
    <x v="4"/>
  </r>
  <r>
    <s v="ORD1369"/>
    <x v="9"/>
    <x v="3"/>
    <n v="2"/>
    <n v="2534.3200000000002"/>
    <x v="4"/>
    <d v="2026-06-20T00:00:00"/>
    <n v="5068.6400000000003"/>
    <x v="4"/>
  </r>
  <r>
    <s v="ORD1370"/>
    <x v="0"/>
    <x v="0"/>
    <n v="1"/>
    <n v="1808.45"/>
    <x v="6"/>
    <d v="2026-01-18T00:00:00"/>
    <n v="1808.45"/>
    <x v="1"/>
  </r>
  <r>
    <s v="ORD1371"/>
    <x v="12"/>
    <x v="4"/>
    <n v="5"/>
    <n v="4206.16"/>
    <x v="1"/>
    <d v="2026-05-22T00:00:00"/>
    <n v="21030.799999999999"/>
    <x v="3"/>
  </r>
  <r>
    <s v="ORD1372"/>
    <x v="13"/>
    <x v="1"/>
    <n v="4"/>
    <n v="59106.65"/>
    <x v="7"/>
    <d v="2026-06-12T00:00:00"/>
    <n v="236426.6"/>
    <x v="4"/>
  </r>
  <r>
    <s v="ORD1373"/>
    <x v="5"/>
    <x v="0"/>
    <n v="3"/>
    <n v="4752.7"/>
    <x v="7"/>
    <d v="2026-04-02T00:00:00"/>
    <n v="14258.099999999999"/>
    <x v="5"/>
  </r>
  <r>
    <s v="ORD1374"/>
    <x v="10"/>
    <x v="3"/>
    <n v="1"/>
    <n v="1936.95"/>
    <x v="2"/>
    <d v="2026-05-29T00:00:00"/>
    <n v="1936.95"/>
    <x v="3"/>
  </r>
  <r>
    <s v="ORD1375"/>
    <x v="3"/>
    <x v="1"/>
    <n v="3"/>
    <n v="25947.09"/>
    <x v="6"/>
    <d v="2026-05-20T00:00:00"/>
    <n v="77841.27"/>
    <x v="3"/>
  </r>
  <r>
    <s v="ORD1376"/>
    <x v="9"/>
    <x v="3"/>
    <n v="2"/>
    <n v="2664.13"/>
    <x v="3"/>
    <d v="2026-06-28T00:00:00"/>
    <n v="5328.26"/>
    <x v="4"/>
  </r>
  <r>
    <s v="ORD1377"/>
    <x v="8"/>
    <x v="4"/>
    <n v="2"/>
    <n v="3718.05"/>
    <x v="2"/>
    <d v="2026-04-28T00:00:00"/>
    <n v="7436.1"/>
    <x v="5"/>
  </r>
  <r>
    <s v="ORD1378"/>
    <x v="13"/>
    <x v="1"/>
    <n v="3"/>
    <n v="51717.5"/>
    <x v="5"/>
    <d v="2026-01-11T00:00:00"/>
    <n v="155152.5"/>
    <x v="1"/>
  </r>
  <r>
    <s v="ORD1379"/>
    <x v="9"/>
    <x v="3"/>
    <n v="3"/>
    <n v="2506.69"/>
    <x v="1"/>
    <d v="2026-05-02T00:00:00"/>
    <n v="7520.07"/>
    <x v="3"/>
  </r>
  <r>
    <s v="ORD1380"/>
    <x v="4"/>
    <x v="3"/>
    <n v="1"/>
    <n v="839.48"/>
    <x v="5"/>
    <d v="2026-03-15T00:00:00"/>
    <n v="839.48"/>
    <x v="0"/>
  </r>
  <r>
    <s v="ORD1381"/>
    <x v="9"/>
    <x v="3"/>
    <n v="1"/>
    <n v="2681.83"/>
    <x v="6"/>
    <d v="2026-03-11T00:00:00"/>
    <n v="2681.83"/>
    <x v="0"/>
  </r>
  <r>
    <s v="ORD1382"/>
    <x v="6"/>
    <x v="1"/>
    <n v="3"/>
    <n v="17773.02"/>
    <x v="8"/>
    <d v="2026-04-23T00:00:00"/>
    <n v="53319.06"/>
    <x v="5"/>
  </r>
  <r>
    <s v="ORD1383"/>
    <x v="5"/>
    <x v="0"/>
    <n v="3"/>
    <n v="5472.63"/>
    <x v="3"/>
    <d v="2026-06-27T00:00:00"/>
    <n v="16417.89"/>
    <x v="4"/>
  </r>
  <r>
    <s v="ORD1384"/>
    <x v="8"/>
    <x v="4"/>
    <n v="3"/>
    <n v="3797.02"/>
    <x v="1"/>
    <d v="2026-03-10T00:00:00"/>
    <n v="11391.06"/>
    <x v="0"/>
  </r>
  <r>
    <s v="ORD1385"/>
    <x v="10"/>
    <x v="3"/>
    <n v="1"/>
    <n v="2089.79"/>
    <x v="2"/>
    <d v="2026-04-21T00:00:00"/>
    <n v="2089.79"/>
    <x v="5"/>
  </r>
  <r>
    <s v="ORD1386"/>
    <x v="2"/>
    <x v="2"/>
    <n v="2"/>
    <n v="454.09"/>
    <x v="6"/>
    <d v="2026-01-27T00:00:00"/>
    <n v="908.18"/>
    <x v="1"/>
  </r>
  <r>
    <s v="ORD1387"/>
    <x v="6"/>
    <x v="1"/>
    <n v="3"/>
    <n v="18579.310000000001"/>
    <x v="0"/>
    <d v="2026-04-25T00:00:00"/>
    <n v="55737.930000000008"/>
    <x v="5"/>
  </r>
  <r>
    <s v="ORD1388"/>
    <x v="2"/>
    <x v="2"/>
    <n v="4"/>
    <n v="420"/>
    <x v="3"/>
    <d v="2026-03-31T00:00:00"/>
    <n v="1680"/>
    <x v="0"/>
  </r>
  <r>
    <s v="ORD1389"/>
    <x v="8"/>
    <x v="4"/>
    <n v="1"/>
    <n v="3658.77"/>
    <x v="6"/>
    <d v="2026-06-07T00:00:00"/>
    <n v="3658.77"/>
    <x v="4"/>
  </r>
  <r>
    <s v="ORD1390"/>
    <x v="5"/>
    <x v="0"/>
    <n v="3"/>
    <n v="5138.4399999999996"/>
    <x v="7"/>
    <d v="2026-01-20T00:00:00"/>
    <n v="15415.32"/>
    <x v="1"/>
  </r>
  <r>
    <s v="ORD1391"/>
    <x v="0"/>
    <x v="0"/>
    <n v="4"/>
    <n v="1750.79"/>
    <x v="4"/>
    <d v="2026-01-08T00:00:00"/>
    <n v="7003.16"/>
    <x v="1"/>
  </r>
  <r>
    <s v="ORD1392"/>
    <x v="11"/>
    <x v="1"/>
    <n v="5"/>
    <n v="2278.36"/>
    <x v="3"/>
    <d v="2026-01-09T00:00:00"/>
    <n v="11391.800000000001"/>
    <x v="1"/>
  </r>
  <r>
    <s v="ORD1393"/>
    <x v="11"/>
    <x v="1"/>
    <n v="1"/>
    <n v="2083.84"/>
    <x v="6"/>
    <d v="2026-04-03T00:00:00"/>
    <n v="2083.84"/>
    <x v="5"/>
  </r>
  <r>
    <s v="ORD1394"/>
    <x v="5"/>
    <x v="0"/>
    <n v="5"/>
    <n v="4531.4799999999996"/>
    <x v="4"/>
    <d v="2026-06-23T00:00:00"/>
    <n v="22657.399999999998"/>
    <x v="4"/>
  </r>
  <r>
    <s v="ORD1395"/>
    <x v="8"/>
    <x v="4"/>
    <n v="3"/>
    <n v="3410.41"/>
    <x v="2"/>
    <d v="2026-05-27T00:00:00"/>
    <n v="10231.23"/>
    <x v="3"/>
  </r>
  <r>
    <s v="ORD1396"/>
    <x v="11"/>
    <x v="1"/>
    <n v="5"/>
    <n v="2141.46"/>
    <x v="6"/>
    <d v="2026-06-16T00:00:00"/>
    <n v="10707.3"/>
    <x v="4"/>
  </r>
  <r>
    <s v="ORD1397"/>
    <x v="4"/>
    <x v="3"/>
    <n v="2"/>
    <n v="872.59"/>
    <x v="7"/>
    <d v="2026-02-17T00:00:00"/>
    <n v="1745.18"/>
    <x v="2"/>
  </r>
  <r>
    <s v="ORD1398"/>
    <x v="8"/>
    <x v="4"/>
    <n v="5"/>
    <n v="3420.89"/>
    <x v="1"/>
    <d v="2026-01-31T00:00:00"/>
    <n v="17104.45"/>
    <x v="1"/>
  </r>
  <r>
    <s v="ORD1399"/>
    <x v="4"/>
    <x v="3"/>
    <n v="3"/>
    <n v="831.61"/>
    <x v="5"/>
    <d v="2026-06-06T00:00:00"/>
    <n v="2494.83"/>
    <x v="4"/>
  </r>
  <r>
    <s v="ORD1400"/>
    <x v="4"/>
    <x v="3"/>
    <n v="4"/>
    <n v="751.09"/>
    <x v="4"/>
    <d v="2026-01-19T00:00:00"/>
    <n v="3004.36"/>
    <x v="1"/>
  </r>
  <r>
    <s v="ORD1401"/>
    <x v="8"/>
    <x v="4"/>
    <n v="2"/>
    <n v="3779.08"/>
    <x v="3"/>
    <d v="2026-01-23T00:00:00"/>
    <n v="7558.16"/>
    <x v="1"/>
  </r>
  <r>
    <s v="ORD1402"/>
    <x v="10"/>
    <x v="3"/>
    <n v="3"/>
    <n v="2066.1"/>
    <x v="2"/>
    <d v="2026-05-21T00:00:00"/>
    <n v="6198.2999999999993"/>
    <x v="3"/>
  </r>
  <r>
    <s v="ORD1403"/>
    <x v="12"/>
    <x v="4"/>
    <n v="3"/>
    <n v="4528.72"/>
    <x v="4"/>
    <d v="2026-06-29T00:00:00"/>
    <n v="13586.16"/>
    <x v="4"/>
  </r>
  <r>
    <s v="ORD1404"/>
    <x v="0"/>
    <x v="0"/>
    <n v="2"/>
    <n v="1905.73"/>
    <x v="1"/>
    <d v="2026-02-27T00:00:00"/>
    <n v="3811.46"/>
    <x v="2"/>
  </r>
  <r>
    <s v="ORD1405"/>
    <x v="6"/>
    <x v="1"/>
    <n v="2"/>
    <n v="19051.439999999999"/>
    <x v="5"/>
    <d v="2026-05-07T00:00:00"/>
    <n v="38102.879999999997"/>
    <x v="3"/>
  </r>
  <r>
    <s v="ORD1406"/>
    <x v="13"/>
    <x v="1"/>
    <n v="3"/>
    <n v="55594.239999999998"/>
    <x v="6"/>
    <d v="2026-04-30T00:00:00"/>
    <n v="166782.72"/>
    <x v="5"/>
  </r>
  <r>
    <s v="ORD1407"/>
    <x v="10"/>
    <x v="3"/>
    <n v="5"/>
    <n v="1850.98"/>
    <x v="2"/>
    <d v="2026-01-17T00:00:00"/>
    <n v="9254.9"/>
    <x v="1"/>
  </r>
  <r>
    <s v="ORD1408"/>
    <x v="4"/>
    <x v="3"/>
    <n v="4"/>
    <n v="878.84"/>
    <x v="3"/>
    <d v="2026-05-15T00:00:00"/>
    <n v="3515.36"/>
    <x v="3"/>
  </r>
  <r>
    <s v="ORD1409"/>
    <x v="5"/>
    <x v="0"/>
    <n v="4"/>
    <n v="5322.27"/>
    <x v="2"/>
    <d v="2026-02-02T00:00:00"/>
    <n v="21289.08"/>
    <x v="2"/>
  </r>
  <r>
    <s v="ORD1410"/>
    <x v="9"/>
    <x v="3"/>
    <n v="1"/>
    <n v="2474"/>
    <x v="1"/>
    <d v="2026-03-30T00:00:00"/>
    <n v="2474"/>
    <x v="0"/>
  </r>
  <r>
    <s v="ORD1411"/>
    <x v="11"/>
    <x v="1"/>
    <n v="5"/>
    <n v="2261.5100000000002"/>
    <x v="4"/>
    <d v="2026-02-03T00:00:00"/>
    <n v="11307.550000000001"/>
    <x v="2"/>
  </r>
  <r>
    <s v="ORD1412"/>
    <x v="5"/>
    <x v="0"/>
    <n v="5"/>
    <n v="5409.63"/>
    <x v="7"/>
    <d v="2026-02-01T00:00:00"/>
    <n v="27048.15"/>
    <x v="2"/>
  </r>
  <r>
    <s v="ORD1413"/>
    <x v="12"/>
    <x v="4"/>
    <n v="2"/>
    <n v="4035.46"/>
    <x v="4"/>
    <d v="2026-03-24T00:00:00"/>
    <n v="8070.92"/>
    <x v="0"/>
  </r>
  <r>
    <s v="ORD1414"/>
    <x v="3"/>
    <x v="1"/>
    <n v="2"/>
    <n v="27137.73"/>
    <x v="1"/>
    <d v="2026-03-14T00:00:00"/>
    <n v="54275.46"/>
    <x v="0"/>
  </r>
  <r>
    <s v="ORD1415"/>
    <x v="7"/>
    <x v="4"/>
    <n v="1"/>
    <n v="6175.79"/>
    <x v="1"/>
    <d v="2026-03-12T00:00:00"/>
    <n v="6175.79"/>
    <x v="0"/>
  </r>
  <r>
    <s v="ORD1416"/>
    <x v="11"/>
    <x v="1"/>
    <n v="3"/>
    <n v="2250.35"/>
    <x v="2"/>
    <d v="2026-05-09T00:00:00"/>
    <n v="6751.0499999999993"/>
    <x v="3"/>
  </r>
  <r>
    <s v="ORD1417"/>
    <x v="0"/>
    <x v="0"/>
    <n v="2"/>
    <n v="1833.05"/>
    <x v="9"/>
    <d v="2026-02-09T00:00:00"/>
    <n v="3666.1"/>
    <x v="2"/>
  </r>
  <r>
    <s v="ORD1418"/>
    <x v="11"/>
    <x v="1"/>
    <n v="5"/>
    <n v="2297.08"/>
    <x v="9"/>
    <d v="2026-03-28T00:00:00"/>
    <n v="11485.4"/>
    <x v="0"/>
  </r>
  <r>
    <s v="ORD1419"/>
    <x v="7"/>
    <x v="4"/>
    <n v="5"/>
    <n v="5903.55"/>
    <x v="7"/>
    <d v="2026-01-21T00:00:00"/>
    <n v="29517.75"/>
    <x v="1"/>
  </r>
  <r>
    <s v="ORD1420"/>
    <x v="13"/>
    <x v="1"/>
    <n v="5"/>
    <n v="52411.21"/>
    <x v="5"/>
    <d v="2026-05-27T00:00:00"/>
    <n v="262056.05"/>
    <x v="3"/>
  </r>
  <r>
    <s v="ORD1421"/>
    <x v="5"/>
    <x v="0"/>
    <n v="5"/>
    <n v="5137.96"/>
    <x v="3"/>
    <d v="2026-06-10T00:00:00"/>
    <n v="25689.8"/>
    <x v="4"/>
  </r>
  <r>
    <s v="ORD1422"/>
    <x v="12"/>
    <x v="4"/>
    <n v="3"/>
    <n v="4319.2"/>
    <x v="0"/>
    <d v="2026-05-04T00:00:00"/>
    <n v="12957.599999999999"/>
    <x v="3"/>
  </r>
  <r>
    <s v="ORD1423"/>
    <x v="1"/>
    <x v="1"/>
    <n v="4"/>
    <n v="1439.23"/>
    <x v="2"/>
    <d v="2026-06-26T00:00:00"/>
    <n v="5756.92"/>
    <x v="4"/>
  </r>
  <r>
    <s v="ORD1424"/>
    <x v="13"/>
    <x v="1"/>
    <n v="2"/>
    <n v="54335.66"/>
    <x v="3"/>
    <d v="2026-04-29T00:00:00"/>
    <n v="108671.32"/>
    <x v="5"/>
  </r>
  <r>
    <s v="ORD1425"/>
    <x v="1"/>
    <x v="1"/>
    <n v="3"/>
    <n v="1532"/>
    <x v="6"/>
    <d v="2026-03-23T00:00:00"/>
    <n v="4596"/>
    <x v="0"/>
  </r>
  <r>
    <s v="ORD1426"/>
    <x v="3"/>
    <x v="1"/>
    <n v="3"/>
    <n v="30662.1"/>
    <x v="4"/>
    <d v="2026-04-05T00:00:00"/>
    <n v="91986.299999999988"/>
    <x v="5"/>
  </r>
  <r>
    <s v="ORD1427"/>
    <x v="12"/>
    <x v="4"/>
    <n v="5"/>
    <n v="3869.19"/>
    <x v="5"/>
    <d v="2026-04-30T00:00:00"/>
    <n v="19345.95"/>
    <x v="5"/>
  </r>
  <r>
    <s v="ORD1428"/>
    <x v="6"/>
    <x v="1"/>
    <n v="3"/>
    <n v="17818.55"/>
    <x v="4"/>
    <d v="2026-01-25T00:00:00"/>
    <n v="53455.649999999994"/>
    <x v="1"/>
  </r>
  <r>
    <s v="ORD1429"/>
    <x v="13"/>
    <x v="1"/>
    <n v="3"/>
    <n v="59899.23"/>
    <x v="9"/>
    <d v="2026-04-18T00:00:00"/>
    <n v="179697.69"/>
    <x v="5"/>
  </r>
  <r>
    <s v="ORD1430"/>
    <x v="1"/>
    <x v="1"/>
    <n v="2"/>
    <n v="1594.04"/>
    <x v="9"/>
    <d v="2026-03-22T00:00:00"/>
    <n v="3188.08"/>
    <x v="0"/>
  </r>
  <r>
    <s v="ORD1431"/>
    <x v="1"/>
    <x v="1"/>
    <n v="2"/>
    <n v="1499.48"/>
    <x v="1"/>
    <d v="2026-04-30T00:00:00"/>
    <n v="2998.96"/>
    <x v="5"/>
  </r>
  <r>
    <s v="ORD1432"/>
    <x v="8"/>
    <x v="4"/>
    <n v="3"/>
    <n v="3498.16"/>
    <x v="2"/>
    <d v="2026-04-11T00:00:00"/>
    <n v="10494.48"/>
    <x v="5"/>
  </r>
  <r>
    <s v="ORD1433"/>
    <x v="12"/>
    <x v="4"/>
    <n v="4"/>
    <n v="4592.0200000000004"/>
    <x v="5"/>
    <d v="2026-05-30T00:00:00"/>
    <n v="18368.080000000002"/>
    <x v="3"/>
  </r>
  <r>
    <s v="ORD1434"/>
    <x v="9"/>
    <x v="3"/>
    <n v="1"/>
    <n v="2274.36"/>
    <x v="3"/>
    <d v="2026-06-02T00:00:00"/>
    <n v="2274.36"/>
    <x v="4"/>
  </r>
  <r>
    <s v="ORD1435"/>
    <x v="7"/>
    <x v="4"/>
    <n v="4"/>
    <n v="6221.47"/>
    <x v="7"/>
    <d v="2026-01-28T00:00:00"/>
    <n v="24885.88"/>
    <x v="1"/>
  </r>
  <r>
    <s v="ORD1436"/>
    <x v="5"/>
    <x v="0"/>
    <n v="2"/>
    <n v="5381.38"/>
    <x v="6"/>
    <d v="2026-04-14T00:00:00"/>
    <n v="10762.76"/>
    <x v="5"/>
  </r>
  <r>
    <s v="ORD1437"/>
    <x v="9"/>
    <x v="3"/>
    <n v="1"/>
    <n v="2449.31"/>
    <x v="9"/>
    <d v="2026-05-24T00:00:00"/>
    <n v="2449.31"/>
    <x v="3"/>
  </r>
  <r>
    <s v="ORD1438"/>
    <x v="1"/>
    <x v="1"/>
    <n v="3"/>
    <n v="1515.97"/>
    <x v="2"/>
    <d v="2026-04-09T00:00:00"/>
    <n v="4547.91"/>
    <x v="5"/>
  </r>
  <r>
    <s v="ORD1439"/>
    <x v="12"/>
    <x v="4"/>
    <n v="4"/>
    <n v="4422.1000000000004"/>
    <x v="0"/>
    <d v="2026-06-09T00:00:00"/>
    <n v="17688.400000000001"/>
    <x v="4"/>
  </r>
  <r>
    <s v="ORD1440"/>
    <x v="0"/>
    <x v="0"/>
    <n v="5"/>
    <n v="1662.77"/>
    <x v="2"/>
    <d v="2026-04-11T00:00:00"/>
    <n v="8313.85"/>
    <x v="5"/>
  </r>
  <r>
    <s v="ORD1441"/>
    <x v="9"/>
    <x v="3"/>
    <n v="3"/>
    <n v="2527.9"/>
    <x v="6"/>
    <d v="2026-02-06T00:00:00"/>
    <n v="7583.7000000000007"/>
    <x v="2"/>
  </r>
  <r>
    <s v="ORD1442"/>
    <x v="1"/>
    <x v="1"/>
    <n v="5"/>
    <n v="1502.74"/>
    <x v="1"/>
    <d v="2026-01-11T00:00:00"/>
    <n v="7513.7"/>
    <x v="1"/>
  </r>
  <r>
    <s v="ORD1443"/>
    <x v="13"/>
    <x v="1"/>
    <n v="1"/>
    <n v="51007.4"/>
    <x v="6"/>
    <d v="2026-05-02T00:00:00"/>
    <n v="51007.4"/>
    <x v="3"/>
  </r>
  <r>
    <s v="ORD1444"/>
    <x v="12"/>
    <x v="4"/>
    <n v="4"/>
    <n v="3905.11"/>
    <x v="1"/>
    <d v="2026-02-05T00:00:00"/>
    <n v="15620.44"/>
    <x v="2"/>
  </r>
  <r>
    <s v="ORD1445"/>
    <x v="9"/>
    <x v="3"/>
    <n v="5"/>
    <n v="2408.3000000000002"/>
    <x v="8"/>
    <d v="2026-06-07T00:00:00"/>
    <n v="12041.5"/>
    <x v="4"/>
  </r>
  <r>
    <s v="ORD1446"/>
    <x v="3"/>
    <x v="1"/>
    <n v="3"/>
    <n v="28524.86"/>
    <x v="1"/>
    <d v="2026-05-11T00:00:00"/>
    <n v="85574.58"/>
    <x v="3"/>
  </r>
  <r>
    <s v="ORD1447"/>
    <x v="12"/>
    <x v="4"/>
    <n v="4"/>
    <n v="4375.34"/>
    <x v="0"/>
    <d v="2026-05-02T00:00:00"/>
    <n v="17501.36"/>
    <x v="3"/>
  </r>
  <r>
    <s v="ORD1448"/>
    <x v="7"/>
    <x v="4"/>
    <n v="1"/>
    <n v="6328.87"/>
    <x v="2"/>
    <d v="2026-04-17T00:00:00"/>
    <n v="6328.87"/>
    <x v="5"/>
  </r>
  <r>
    <s v="ORD1449"/>
    <x v="2"/>
    <x v="2"/>
    <n v="3"/>
    <n v="476.71"/>
    <x v="7"/>
    <d v="2026-06-02T00:00:00"/>
    <n v="1430.1299999999999"/>
    <x v="4"/>
  </r>
  <r>
    <s v="ORD1450"/>
    <x v="8"/>
    <x v="4"/>
    <n v="3"/>
    <n v="3826.95"/>
    <x v="9"/>
    <d v="2026-05-28T00:00:00"/>
    <n v="11480.849999999999"/>
    <x v="3"/>
  </r>
  <r>
    <s v="ORD1451"/>
    <x v="1"/>
    <x v="1"/>
    <n v="1"/>
    <n v="1525.06"/>
    <x v="4"/>
    <d v="2026-05-15T00:00:00"/>
    <n v="1525.06"/>
    <x v="3"/>
  </r>
  <r>
    <s v="ORD1452"/>
    <x v="0"/>
    <x v="0"/>
    <n v="5"/>
    <n v="1898.86"/>
    <x v="8"/>
    <d v="2026-02-07T00:00:00"/>
    <n v="9494.2999999999993"/>
    <x v="2"/>
  </r>
  <r>
    <s v="ORD1453"/>
    <x v="7"/>
    <x v="4"/>
    <n v="2"/>
    <n v="5891.04"/>
    <x v="2"/>
    <d v="2026-02-18T00:00:00"/>
    <n v="11782.08"/>
    <x v="2"/>
  </r>
  <r>
    <s v="ORD1454"/>
    <x v="13"/>
    <x v="1"/>
    <n v="4"/>
    <n v="52950.62"/>
    <x v="4"/>
    <d v="2026-04-16T00:00:00"/>
    <n v="211802.48"/>
    <x v="5"/>
  </r>
  <r>
    <s v="ORD1455"/>
    <x v="3"/>
    <x v="1"/>
    <n v="2"/>
    <n v="27498.11"/>
    <x v="9"/>
    <d v="2026-05-01T00:00:00"/>
    <n v="54996.22"/>
    <x v="3"/>
  </r>
  <r>
    <s v="ORD1456"/>
    <x v="7"/>
    <x v="4"/>
    <n v="1"/>
    <n v="6767.51"/>
    <x v="1"/>
    <d v="2026-02-23T00:00:00"/>
    <n v="6767.51"/>
    <x v="2"/>
  </r>
  <r>
    <s v="ORD1457"/>
    <x v="12"/>
    <x v="4"/>
    <n v="3"/>
    <n v="4618.42"/>
    <x v="3"/>
    <d v="2026-05-15T00:00:00"/>
    <n v="13855.26"/>
    <x v="3"/>
  </r>
  <r>
    <s v="ORD1458"/>
    <x v="5"/>
    <x v="0"/>
    <n v="3"/>
    <n v="5455.59"/>
    <x v="3"/>
    <d v="2026-05-17T00:00:00"/>
    <n v="16366.77"/>
    <x v="3"/>
  </r>
  <r>
    <s v="ORD1459"/>
    <x v="9"/>
    <x v="3"/>
    <n v="5"/>
    <n v="2426.17"/>
    <x v="0"/>
    <d v="2026-06-06T00:00:00"/>
    <n v="12130.85"/>
    <x v="4"/>
  </r>
  <r>
    <s v="ORD1460"/>
    <x v="8"/>
    <x v="4"/>
    <n v="2"/>
    <n v="3820.14"/>
    <x v="0"/>
    <d v="2026-05-23T00:00:00"/>
    <n v="7640.28"/>
    <x v="3"/>
  </r>
  <r>
    <s v="ORD1461"/>
    <x v="4"/>
    <x v="3"/>
    <n v="2"/>
    <n v="869.55"/>
    <x v="0"/>
    <d v="2026-03-15T00:00:00"/>
    <n v="1739.1"/>
    <x v="0"/>
  </r>
  <r>
    <s v="ORD1462"/>
    <x v="3"/>
    <x v="1"/>
    <n v="2"/>
    <n v="29065.34"/>
    <x v="3"/>
    <d v="2026-03-23T00:00:00"/>
    <n v="58130.68"/>
    <x v="0"/>
  </r>
  <r>
    <s v="ORD1463"/>
    <x v="8"/>
    <x v="4"/>
    <n v="3"/>
    <n v="3542.34"/>
    <x v="0"/>
    <d v="2026-03-15T00:00:00"/>
    <n v="10627.02"/>
    <x v="0"/>
  </r>
  <r>
    <s v="ORD1464"/>
    <x v="6"/>
    <x v="1"/>
    <n v="5"/>
    <n v="18635.84"/>
    <x v="8"/>
    <d v="2026-04-12T00:00:00"/>
    <n v="93179.199999999997"/>
    <x v="5"/>
  </r>
  <r>
    <s v="ORD1465"/>
    <x v="7"/>
    <x v="4"/>
    <n v="3"/>
    <n v="7090.99"/>
    <x v="4"/>
    <d v="2026-03-16T00:00:00"/>
    <n v="21272.97"/>
    <x v="0"/>
  </r>
  <r>
    <s v="ORD1466"/>
    <x v="13"/>
    <x v="1"/>
    <n v="3"/>
    <n v="60008.45"/>
    <x v="2"/>
    <d v="2026-03-30T00:00:00"/>
    <n v="180025.34999999998"/>
    <x v="0"/>
  </r>
  <r>
    <s v="ORD1467"/>
    <x v="8"/>
    <x v="4"/>
    <n v="3"/>
    <n v="3673.14"/>
    <x v="5"/>
    <d v="2026-02-21T00:00:00"/>
    <n v="11019.42"/>
    <x v="2"/>
  </r>
  <r>
    <s v="ORD1468"/>
    <x v="7"/>
    <x v="4"/>
    <n v="5"/>
    <n v="6202.47"/>
    <x v="1"/>
    <d v="2026-06-28T00:00:00"/>
    <n v="31012.350000000002"/>
    <x v="4"/>
  </r>
  <r>
    <s v="ORD1469"/>
    <x v="4"/>
    <x v="3"/>
    <n v="2"/>
    <n v="736.55"/>
    <x v="9"/>
    <d v="2026-03-03T00:00:00"/>
    <n v="1473.1"/>
    <x v="0"/>
  </r>
  <r>
    <s v="ORD1470"/>
    <x v="1"/>
    <x v="1"/>
    <n v="1"/>
    <n v="1550.95"/>
    <x v="1"/>
    <d v="2026-02-27T00:00:00"/>
    <n v="1550.95"/>
    <x v="2"/>
  </r>
  <r>
    <s v="ORD1471"/>
    <x v="0"/>
    <x v="0"/>
    <n v="2"/>
    <n v="1638.9"/>
    <x v="8"/>
    <d v="2026-03-26T00:00:00"/>
    <n v="3277.8"/>
    <x v="0"/>
  </r>
  <r>
    <s v="ORD1472"/>
    <x v="3"/>
    <x v="1"/>
    <n v="4"/>
    <n v="25763.05"/>
    <x v="4"/>
    <d v="2026-01-02T00:00:00"/>
    <n v="103052.2"/>
    <x v="1"/>
  </r>
  <r>
    <s v="ORD1473"/>
    <x v="12"/>
    <x v="4"/>
    <n v="2"/>
    <n v="4121.8"/>
    <x v="3"/>
    <d v="2026-05-03T00:00:00"/>
    <n v="8243.6"/>
    <x v="3"/>
  </r>
  <r>
    <s v="ORD1474"/>
    <x v="0"/>
    <x v="0"/>
    <n v="2"/>
    <n v="1892.13"/>
    <x v="0"/>
    <d v="2026-03-24T00:00:00"/>
    <n v="3784.26"/>
    <x v="0"/>
  </r>
  <r>
    <s v="ORD1475"/>
    <x v="4"/>
    <x v="3"/>
    <n v="1"/>
    <n v="864.19"/>
    <x v="2"/>
    <d v="2026-06-16T00:00:00"/>
    <n v="864.19"/>
    <x v="4"/>
  </r>
  <r>
    <s v="ORD1476"/>
    <x v="2"/>
    <x v="2"/>
    <n v="2"/>
    <n v="453.16"/>
    <x v="7"/>
    <d v="2026-02-14T00:00:00"/>
    <n v="906.32"/>
    <x v="2"/>
  </r>
  <r>
    <s v="ORD1477"/>
    <x v="5"/>
    <x v="0"/>
    <n v="2"/>
    <n v="5432.84"/>
    <x v="7"/>
    <d v="2026-04-12T00:00:00"/>
    <n v="10865.68"/>
    <x v="5"/>
  </r>
  <r>
    <s v="ORD1478"/>
    <x v="10"/>
    <x v="3"/>
    <n v="4"/>
    <n v="1873.59"/>
    <x v="0"/>
    <d v="2026-01-10T00:00:00"/>
    <n v="7494.36"/>
    <x v="1"/>
  </r>
  <r>
    <s v="ORD1479"/>
    <x v="13"/>
    <x v="1"/>
    <n v="3"/>
    <n v="55747.58"/>
    <x v="2"/>
    <d v="2026-03-27T00:00:00"/>
    <n v="167242.74"/>
    <x v="0"/>
  </r>
  <r>
    <s v="ORD1480"/>
    <x v="4"/>
    <x v="3"/>
    <n v="4"/>
    <n v="877.16"/>
    <x v="1"/>
    <d v="2026-05-15T00:00:00"/>
    <n v="3508.64"/>
    <x v="3"/>
  </r>
  <r>
    <s v="ORD1481"/>
    <x v="8"/>
    <x v="4"/>
    <n v="2"/>
    <n v="3745.74"/>
    <x v="3"/>
    <d v="2026-03-11T00:00:00"/>
    <n v="7491.48"/>
    <x v="0"/>
  </r>
  <r>
    <s v="ORD1482"/>
    <x v="1"/>
    <x v="1"/>
    <n v="1"/>
    <n v="1449.21"/>
    <x v="3"/>
    <d v="2026-06-15T00:00:00"/>
    <n v="1449.21"/>
    <x v="4"/>
  </r>
  <r>
    <s v="ORD1483"/>
    <x v="4"/>
    <x v="3"/>
    <n v="2"/>
    <n v="721.35"/>
    <x v="6"/>
    <d v="2026-03-17T00:00:00"/>
    <n v="1442.7"/>
    <x v="0"/>
  </r>
  <r>
    <s v="ORD1484"/>
    <x v="2"/>
    <x v="2"/>
    <n v="2"/>
    <n v="420.79"/>
    <x v="8"/>
    <d v="2026-04-20T00:00:00"/>
    <n v="841.58"/>
    <x v="5"/>
  </r>
  <r>
    <s v="ORD1485"/>
    <x v="12"/>
    <x v="4"/>
    <n v="3"/>
    <n v="3852.86"/>
    <x v="2"/>
    <d v="2026-02-17T00:00:00"/>
    <n v="11558.58"/>
    <x v="2"/>
  </r>
  <r>
    <s v="ORD1486"/>
    <x v="11"/>
    <x v="1"/>
    <n v="4"/>
    <n v="2122.38"/>
    <x v="5"/>
    <d v="2026-01-02T00:00:00"/>
    <n v="8489.52"/>
    <x v="1"/>
  </r>
  <r>
    <s v="ORD1487"/>
    <x v="4"/>
    <x v="3"/>
    <n v="4"/>
    <n v="756.74"/>
    <x v="0"/>
    <d v="2026-03-26T00:00:00"/>
    <n v="3026.96"/>
    <x v="0"/>
  </r>
  <r>
    <s v="ORD1488"/>
    <x v="4"/>
    <x v="3"/>
    <n v="5"/>
    <n v="834.62"/>
    <x v="7"/>
    <d v="2026-03-08T00:00:00"/>
    <n v="4173.1000000000004"/>
    <x v="0"/>
  </r>
  <r>
    <s v="ORD1489"/>
    <x v="0"/>
    <x v="0"/>
    <n v="3"/>
    <n v="1869.4"/>
    <x v="7"/>
    <d v="2026-06-20T00:00:00"/>
    <n v="5608.2000000000007"/>
    <x v="4"/>
  </r>
  <r>
    <s v="ORD1490"/>
    <x v="6"/>
    <x v="1"/>
    <n v="4"/>
    <n v="17304.5"/>
    <x v="8"/>
    <d v="2026-06-25T00:00:00"/>
    <n v="69218"/>
    <x v="4"/>
  </r>
  <r>
    <s v="ORD1491"/>
    <x v="12"/>
    <x v="4"/>
    <n v="3"/>
    <n v="4359.84"/>
    <x v="0"/>
    <d v="2026-04-05T00:00:00"/>
    <n v="13079.52"/>
    <x v="5"/>
  </r>
  <r>
    <s v="ORD1492"/>
    <x v="2"/>
    <x v="2"/>
    <n v="2"/>
    <n v="424.72"/>
    <x v="4"/>
    <d v="2026-05-03T00:00:00"/>
    <n v="849.44"/>
    <x v="3"/>
  </r>
  <r>
    <s v="ORD1493"/>
    <x v="11"/>
    <x v="1"/>
    <n v="4"/>
    <n v="2309"/>
    <x v="9"/>
    <d v="2026-04-06T00:00:00"/>
    <n v="9236"/>
    <x v="5"/>
  </r>
  <r>
    <s v="ORD1494"/>
    <x v="5"/>
    <x v="0"/>
    <n v="5"/>
    <n v="5411.71"/>
    <x v="1"/>
    <d v="2026-06-20T00:00:00"/>
    <n v="27058.55"/>
    <x v="4"/>
  </r>
  <r>
    <s v="ORD1495"/>
    <x v="7"/>
    <x v="4"/>
    <n v="2"/>
    <n v="6840.42"/>
    <x v="9"/>
    <d v="2026-01-21T00:00:00"/>
    <n v="13680.84"/>
    <x v="1"/>
  </r>
  <r>
    <s v="ORD1496"/>
    <x v="12"/>
    <x v="4"/>
    <n v="4"/>
    <n v="4223.67"/>
    <x v="6"/>
    <d v="2026-01-20T00:00:00"/>
    <n v="16894.68"/>
    <x v="1"/>
  </r>
  <r>
    <s v="ORD1497"/>
    <x v="2"/>
    <x v="2"/>
    <n v="1"/>
    <n v="410.56"/>
    <x v="1"/>
    <d v="2026-05-10T00:00:00"/>
    <n v="410.56"/>
    <x v="3"/>
  </r>
  <r>
    <s v="ORD1498"/>
    <x v="1"/>
    <x v="1"/>
    <n v="5"/>
    <n v="1511"/>
    <x v="4"/>
    <d v="2026-03-25T00:00:00"/>
    <n v="7555"/>
    <x v="0"/>
  </r>
  <r>
    <s v="ORD1499"/>
    <x v="7"/>
    <x v="4"/>
    <n v="5"/>
    <n v="6424.39"/>
    <x v="5"/>
    <d v="2026-05-30T00:00:00"/>
    <n v="32121.95"/>
    <x v="3"/>
  </r>
  <r>
    <s v="ORD1500"/>
    <x v="8"/>
    <x v="4"/>
    <n v="1"/>
    <n v="3779.22"/>
    <x v="3"/>
    <d v="2026-01-15T00:00:00"/>
    <n v="3779.22"/>
    <x v="1"/>
  </r>
  <r>
    <s v="ORD1501"/>
    <x v="8"/>
    <x v="4"/>
    <n v="2"/>
    <n v="3509.27"/>
    <x v="3"/>
    <d v="2026-05-25T00:00:00"/>
    <n v="7018.54"/>
    <x v="3"/>
  </r>
  <r>
    <s v="ORD1502"/>
    <x v="13"/>
    <x v="1"/>
    <n v="5"/>
    <n v="54586.16"/>
    <x v="0"/>
    <d v="2026-01-06T00:00:00"/>
    <n v="272930.80000000005"/>
    <x v="1"/>
  </r>
  <r>
    <s v="ORD1503"/>
    <x v="5"/>
    <x v="0"/>
    <n v="3"/>
    <n v="5315.39"/>
    <x v="5"/>
    <d v="2026-05-29T00:00:00"/>
    <n v="15946.170000000002"/>
    <x v="3"/>
  </r>
  <r>
    <s v="ORD1504"/>
    <x v="6"/>
    <x v="1"/>
    <n v="1"/>
    <n v="17725.310000000001"/>
    <x v="2"/>
    <d v="2026-05-19T00:00:00"/>
    <n v="17725.310000000001"/>
    <x v="3"/>
  </r>
  <r>
    <s v="ORD1505"/>
    <x v="13"/>
    <x v="1"/>
    <n v="1"/>
    <n v="60347.51"/>
    <x v="3"/>
    <d v="2026-01-09T00:00:00"/>
    <n v="60347.51"/>
    <x v="1"/>
  </r>
  <r>
    <s v="ORD1506"/>
    <x v="4"/>
    <x v="3"/>
    <n v="4"/>
    <n v="747.86"/>
    <x v="4"/>
    <d v="2026-06-14T00:00:00"/>
    <n v="2991.44"/>
    <x v="4"/>
  </r>
  <r>
    <s v="ORD1507"/>
    <x v="3"/>
    <x v="1"/>
    <n v="4"/>
    <n v="27296.98"/>
    <x v="8"/>
    <d v="2026-04-25T00:00:00"/>
    <n v="109187.92"/>
    <x v="5"/>
  </r>
  <r>
    <s v="ORD1508"/>
    <x v="7"/>
    <x v="4"/>
    <n v="4"/>
    <n v="6338.34"/>
    <x v="1"/>
    <d v="2026-02-04T00:00:00"/>
    <n v="25353.360000000001"/>
    <x v="2"/>
  </r>
  <r>
    <s v="ORD1509"/>
    <x v="0"/>
    <x v="0"/>
    <n v="3"/>
    <n v="1662.71"/>
    <x v="1"/>
    <d v="2026-04-11T00:00:00"/>
    <n v="4988.13"/>
    <x v="5"/>
  </r>
  <r>
    <s v="ORD1510"/>
    <x v="12"/>
    <x v="4"/>
    <n v="2"/>
    <n v="4391.3999999999996"/>
    <x v="5"/>
    <d v="2026-01-01T00:00:00"/>
    <n v="8782.7999999999993"/>
    <x v="1"/>
  </r>
  <r>
    <s v="ORD1511"/>
    <x v="10"/>
    <x v="3"/>
    <n v="1"/>
    <n v="2190.3000000000002"/>
    <x v="3"/>
    <d v="2026-06-22T00:00:00"/>
    <n v="2190.3000000000002"/>
    <x v="4"/>
  </r>
  <r>
    <s v="ORD1512"/>
    <x v="3"/>
    <x v="1"/>
    <n v="5"/>
    <n v="27575.119999999999"/>
    <x v="8"/>
    <d v="2026-02-28T00:00:00"/>
    <n v="137875.6"/>
    <x v="2"/>
  </r>
  <r>
    <s v="ORD1513"/>
    <x v="1"/>
    <x v="1"/>
    <n v="4"/>
    <n v="1453.85"/>
    <x v="0"/>
    <d v="2026-02-18T00:00:00"/>
    <n v="5815.4"/>
    <x v="2"/>
  </r>
  <r>
    <s v="ORD1514"/>
    <x v="3"/>
    <x v="1"/>
    <n v="1"/>
    <n v="25380.42"/>
    <x v="8"/>
    <d v="2026-06-07T00:00:00"/>
    <n v="25380.42"/>
    <x v="4"/>
  </r>
  <r>
    <s v="ORD1515"/>
    <x v="10"/>
    <x v="3"/>
    <n v="1"/>
    <n v="1895.32"/>
    <x v="2"/>
    <d v="2026-01-26T00:00:00"/>
    <n v="1895.32"/>
    <x v="1"/>
  </r>
  <r>
    <s v="ORD1516"/>
    <x v="2"/>
    <x v="2"/>
    <n v="1"/>
    <n v="445.18"/>
    <x v="7"/>
    <d v="2026-03-04T00:00:00"/>
    <n v="445.18"/>
    <x v="0"/>
  </r>
  <r>
    <s v="ORD1517"/>
    <x v="3"/>
    <x v="1"/>
    <n v="1"/>
    <n v="27452.69"/>
    <x v="5"/>
    <d v="2026-05-19T00:00:00"/>
    <n v="27452.69"/>
    <x v="3"/>
  </r>
  <r>
    <s v="ORD1518"/>
    <x v="1"/>
    <x v="1"/>
    <n v="1"/>
    <n v="1392.04"/>
    <x v="0"/>
    <d v="2026-03-01T00:00:00"/>
    <n v="1392.04"/>
    <x v="0"/>
  </r>
  <r>
    <s v="ORD1519"/>
    <x v="7"/>
    <x v="4"/>
    <n v="5"/>
    <n v="6264.57"/>
    <x v="9"/>
    <d v="2026-06-22T00:00:00"/>
    <n v="31322.85"/>
    <x v="4"/>
  </r>
  <r>
    <s v="ORD1520"/>
    <x v="7"/>
    <x v="4"/>
    <n v="3"/>
    <n v="6157.98"/>
    <x v="4"/>
    <d v="2026-06-19T00:00:00"/>
    <n v="18473.939999999999"/>
    <x v="4"/>
  </r>
  <r>
    <s v="ORD1521"/>
    <x v="12"/>
    <x v="4"/>
    <n v="2"/>
    <n v="4127.3900000000003"/>
    <x v="0"/>
    <d v="2026-01-16T00:00:00"/>
    <n v="8254.7800000000007"/>
    <x v="1"/>
  </r>
  <r>
    <s v="ORD1522"/>
    <x v="12"/>
    <x v="4"/>
    <n v="5"/>
    <n v="4518.96"/>
    <x v="4"/>
    <d v="2026-06-10T00:00:00"/>
    <n v="22594.799999999999"/>
    <x v="4"/>
  </r>
  <r>
    <s v="ORD1523"/>
    <x v="0"/>
    <x v="0"/>
    <n v="4"/>
    <n v="1820.11"/>
    <x v="7"/>
    <d v="2026-03-30T00:00:00"/>
    <n v="7280.44"/>
    <x v="0"/>
  </r>
  <r>
    <s v="ORD1524"/>
    <x v="0"/>
    <x v="0"/>
    <n v="4"/>
    <n v="1902.89"/>
    <x v="6"/>
    <d v="2026-06-28T00:00:00"/>
    <n v="7611.56"/>
    <x v="4"/>
  </r>
  <r>
    <s v="ORD1525"/>
    <x v="5"/>
    <x v="0"/>
    <n v="4"/>
    <n v="4648.29"/>
    <x v="8"/>
    <d v="2026-02-17T00:00:00"/>
    <n v="18593.16"/>
    <x v="2"/>
  </r>
  <r>
    <s v="ORD1526"/>
    <x v="10"/>
    <x v="3"/>
    <n v="5"/>
    <n v="1988.41"/>
    <x v="5"/>
    <d v="2026-03-18T00:00:00"/>
    <n v="9942.0500000000011"/>
    <x v="0"/>
  </r>
  <r>
    <s v="ORD1527"/>
    <x v="7"/>
    <x v="4"/>
    <n v="2"/>
    <n v="6897.51"/>
    <x v="7"/>
    <d v="2026-05-24T00:00:00"/>
    <n v="13795.02"/>
    <x v="3"/>
  </r>
  <r>
    <s v="ORD1528"/>
    <x v="5"/>
    <x v="0"/>
    <n v="4"/>
    <n v="5056.28"/>
    <x v="4"/>
    <d v="2026-04-10T00:00:00"/>
    <n v="20225.12"/>
    <x v="5"/>
  </r>
  <r>
    <s v="ORD1529"/>
    <x v="1"/>
    <x v="1"/>
    <n v="3"/>
    <n v="1411"/>
    <x v="2"/>
    <d v="2026-04-26T00:00:00"/>
    <n v="4233"/>
    <x v="5"/>
  </r>
  <r>
    <s v="ORD1530"/>
    <x v="7"/>
    <x v="4"/>
    <n v="3"/>
    <n v="5970.2"/>
    <x v="5"/>
    <d v="2026-01-14T00:00:00"/>
    <n v="17910.599999999999"/>
    <x v="1"/>
  </r>
  <r>
    <s v="ORD1531"/>
    <x v="4"/>
    <x v="3"/>
    <n v="4"/>
    <n v="826.75"/>
    <x v="9"/>
    <d v="2026-01-11T00:00:00"/>
    <n v="3307"/>
    <x v="1"/>
  </r>
  <r>
    <s v="ORD1532"/>
    <x v="7"/>
    <x v="4"/>
    <n v="1"/>
    <n v="6094.61"/>
    <x v="9"/>
    <d v="2026-06-21T00:00:00"/>
    <n v="6094.61"/>
    <x v="4"/>
  </r>
  <r>
    <s v="ORD1533"/>
    <x v="12"/>
    <x v="4"/>
    <n v="2"/>
    <n v="4182.6899999999996"/>
    <x v="6"/>
    <d v="2026-03-19T00:00:00"/>
    <n v="8365.3799999999992"/>
    <x v="0"/>
  </r>
  <r>
    <s v="ORD1534"/>
    <x v="13"/>
    <x v="1"/>
    <n v="2"/>
    <n v="59808.76"/>
    <x v="2"/>
    <d v="2026-05-03T00:00:00"/>
    <n v="119617.52"/>
    <x v="3"/>
  </r>
  <r>
    <s v="ORD1535"/>
    <x v="1"/>
    <x v="1"/>
    <n v="5"/>
    <n v="1561.13"/>
    <x v="8"/>
    <d v="2026-03-03T00:00:00"/>
    <n v="7805.6500000000005"/>
    <x v="0"/>
  </r>
  <r>
    <s v="ORD1536"/>
    <x v="12"/>
    <x v="4"/>
    <n v="3"/>
    <n v="4431.43"/>
    <x v="8"/>
    <d v="2026-04-30T00:00:00"/>
    <n v="13294.29"/>
    <x v="5"/>
  </r>
  <r>
    <s v="ORD1537"/>
    <x v="12"/>
    <x v="4"/>
    <n v="3"/>
    <n v="4039.07"/>
    <x v="6"/>
    <d v="2026-05-12T00:00:00"/>
    <n v="12117.210000000001"/>
    <x v="3"/>
  </r>
  <r>
    <s v="ORD1538"/>
    <x v="8"/>
    <x v="4"/>
    <n v="4"/>
    <n v="3219.03"/>
    <x v="3"/>
    <d v="2026-03-23T00:00:00"/>
    <n v="12876.12"/>
    <x v="0"/>
  </r>
  <r>
    <s v="ORD1539"/>
    <x v="1"/>
    <x v="1"/>
    <n v="3"/>
    <n v="1443.88"/>
    <x v="7"/>
    <d v="2026-05-25T00:00:00"/>
    <n v="4331.6400000000003"/>
    <x v="3"/>
  </r>
  <r>
    <s v="ORD1540"/>
    <x v="7"/>
    <x v="4"/>
    <n v="2"/>
    <n v="6813.63"/>
    <x v="7"/>
    <d v="2026-03-08T00:00:00"/>
    <n v="13627.26"/>
    <x v="0"/>
  </r>
  <r>
    <s v="ORD1541"/>
    <x v="12"/>
    <x v="4"/>
    <n v="5"/>
    <n v="4266.4799999999996"/>
    <x v="8"/>
    <d v="2026-03-17T00:00:00"/>
    <n v="21332.399999999998"/>
    <x v="0"/>
  </r>
  <r>
    <s v="ORD1542"/>
    <x v="11"/>
    <x v="1"/>
    <n v="2"/>
    <n v="2125.14"/>
    <x v="8"/>
    <d v="2026-05-26T00:00:00"/>
    <n v="4250.28"/>
    <x v="3"/>
  </r>
  <r>
    <s v="ORD1543"/>
    <x v="7"/>
    <x v="4"/>
    <n v="2"/>
    <n v="6499.09"/>
    <x v="6"/>
    <d v="2026-03-07T00:00:00"/>
    <n v="12998.18"/>
    <x v="0"/>
  </r>
  <r>
    <s v="ORD1544"/>
    <x v="10"/>
    <x v="3"/>
    <n v="4"/>
    <n v="2185.5100000000002"/>
    <x v="3"/>
    <d v="2026-04-28T00:00:00"/>
    <n v="8742.0400000000009"/>
    <x v="5"/>
  </r>
  <r>
    <s v="ORD1545"/>
    <x v="11"/>
    <x v="1"/>
    <n v="3"/>
    <n v="2054.48"/>
    <x v="1"/>
    <d v="2026-05-06T00:00:00"/>
    <n v="6163.4400000000005"/>
    <x v="3"/>
  </r>
  <r>
    <s v="ORD1546"/>
    <x v="11"/>
    <x v="1"/>
    <n v="5"/>
    <n v="2415.7399999999998"/>
    <x v="7"/>
    <d v="2026-05-15T00:00:00"/>
    <n v="12078.699999999999"/>
    <x v="3"/>
  </r>
  <r>
    <s v="ORD1547"/>
    <x v="13"/>
    <x v="1"/>
    <n v="1"/>
    <n v="59897.07"/>
    <x v="7"/>
    <d v="2026-01-02T00:00:00"/>
    <n v="59897.07"/>
    <x v="1"/>
  </r>
  <r>
    <s v="ORD1548"/>
    <x v="5"/>
    <x v="0"/>
    <n v="2"/>
    <n v="5341.48"/>
    <x v="5"/>
    <d v="2026-01-18T00:00:00"/>
    <n v="10682.96"/>
    <x v="1"/>
  </r>
  <r>
    <s v="ORD1549"/>
    <x v="3"/>
    <x v="1"/>
    <n v="2"/>
    <n v="25251.19"/>
    <x v="1"/>
    <d v="2026-04-27T00:00:00"/>
    <n v="50502.38"/>
    <x v="5"/>
  </r>
  <r>
    <s v="ORD1550"/>
    <x v="9"/>
    <x v="3"/>
    <n v="1"/>
    <n v="2557.89"/>
    <x v="9"/>
    <d v="2026-05-04T00:00:00"/>
    <n v="2557.89"/>
    <x v="3"/>
  </r>
  <r>
    <s v="ORD1551"/>
    <x v="0"/>
    <x v="0"/>
    <n v="4"/>
    <n v="1625.66"/>
    <x v="1"/>
    <d v="2026-05-22T00:00:00"/>
    <n v="6502.64"/>
    <x v="3"/>
  </r>
  <r>
    <s v="ORD1552"/>
    <x v="5"/>
    <x v="0"/>
    <n v="1"/>
    <n v="4515.82"/>
    <x v="0"/>
    <d v="2026-05-18T00:00:00"/>
    <n v="4515.82"/>
    <x v="3"/>
  </r>
  <r>
    <s v="ORD1553"/>
    <x v="4"/>
    <x v="3"/>
    <n v="1"/>
    <n v="799.35"/>
    <x v="8"/>
    <d v="2026-02-15T00:00:00"/>
    <n v="799.35"/>
    <x v="2"/>
  </r>
  <r>
    <s v="ORD1554"/>
    <x v="6"/>
    <x v="1"/>
    <n v="1"/>
    <n v="18087.79"/>
    <x v="5"/>
    <d v="2026-02-19T00:00:00"/>
    <n v="18087.79"/>
    <x v="2"/>
  </r>
  <r>
    <s v="ORD1555"/>
    <x v="2"/>
    <x v="2"/>
    <n v="5"/>
    <n v="427.72"/>
    <x v="6"/>
    <d v="2026-03-10T00:00:00"/>
    <n v="2138.6000000000004"/>
    <x v="0"/>
  </r>
  <r>
    <s v="ORD1556"/>
    <x v="10"/>
    <x v="3"/>
    <n v="4"/>
    <n v="1830.69"/>
    <x v="8"/>
    <d v="2026-04-28T00:00:00"/>
    <n v="7322.76"/>
    <x v="5"/>
  </r>
  <r>
    <s v="ORD1557"/>
    <x v="2"/>
    <x v="2"/>
    <n v="2"/>
    <n v="494.12"/>
    <x v="5"/>
    <d v="2026-03-18T00:00:00"/>
    <n v="988.24"/>
    <x v="0"/>
  </r>
  <r>
    <s v="ORD1558"/>
    <x v="0"/>
    <x v="0"/>
    <n v="1"/>
    <n v="1855.34"/>
    <x v="7"/>
    <d v="2026-01-24T00:00:00"/>
    <n v="1855.34"/>
    <x v="1"/>
  </r>
  <r>
    <s v="ORD1559"/>
    <x v="5"/>
    <x v="0"/>
    <n v="4"/>
    <n v="4876.1899999999996"/>
    <x v="3"/>
    <d v="2026-01-15T00:00:00"/>
    <n v="19504.759999999998"/>
    <x v="1"/>
  </r>
  <r>
    <s v="ORD1560"/>
    <x v="0"/>
    <x v="0"/>
    <n v="1"/>
    <n v="1873.02"/>
    <x v="2"/>
    <d v="2026-05-08T00:00:00"/>
    <n v="1873.02"/>
    <x v="3"/>
  </r>
  <r>
    <s v="ORD1561"/>
    <x v="7"/>
    <x v="4"/>
    <n v="4"/>
    <n v="6688.38"/>
    <x v="6"/>
    <d v="2026-05-25T00:00:00"/>
    <n v="26753.52"/>
    <x v="3"/>
  </r>
  <r>
    <s v="ORD1562"/>
    <x v="7"/>
    <x v="4"/>
    <n v="1"/>
    <n v="7013.23"/>
    <x v="7"/>
    <d v="2026-02-28T00:00:00"/>
    <n v="7013.23"/>
    <x v="2"/>
  </r>
  <r>
    <s v="ORD1563"/>
    <x v="1"/>
    <x v="1"/>
    <n v="5"/>
    <n v="1492.65"/>
    <x v="7"/>
    <d v="2026-01-20T00:00:00"/>
    <n v="7463.25"/>
    <x v="1"/>
  </r>
  <r>
    <s v="ORD1564"/>
    <x v="0"/>
    <x v="0"/>
    <n v="3"/>
    <n v="1943.75"/>
    <x v="9"/>
    <d v="2026-06-18T00:00:00"/>
    <n v="5831.25"/>
    <x v="4"/>
  </r>
  <r>
    <s v="ORD1565"/>
    <x v="13"/>
    <x v="1"/>
    <n v="2"/>
    <n v="59716.43"/>
    <x v="6"/>
    <d v="2026-01-05T00:00:00"/>
    <n v="119432.86"/>
    <x v="1"/>
  </r>
  <r>
    <s v="ORD1566"/>
    <x v="1"/>
    <x v="1"/>
    <n v="5"/>
    <n v="1393.26"/>
    <x v="8"/>
    <d v="2026-01-20T00:00:00"/>
    <n v="6966.3"/>
    <x v="1"/>
  </r>
  <r>
    <s v="ORD1567"/>
    <x v="4"/>
    <x v="3"/>
    <n v="2"/>
    <n v="809.22"/>
    <x v="9"/>
    <d v="2026-04-10T00:00:00"/>
    <n v="1618.44"/>
    <x v="5"/>
  </r>
  <r>
    <s v="ORD1568"/>
    <x v="0"/>
    <x v="0"/>
    <n v="5"/>
    <n v="1739.42"/>
    <x v="4"/>
    <d v="2026-06-26T00:00:00"/>
    <n v="8697.1"/>
    <x v="4"/>
  </r>
  <r>
    <s v="ORD1569"/>
    <x v="3"/>
    <x v="1"/>
    <n v="1"/>
    <n v="28004.44"/>
    <x v="6"/>
    <d v="2026-01-14T00:00:00"/>
    <n v="28004.44"/>
    <x v="1"/>
  </r>
  <r>
    <s v="ORD1570"/>
    <x v="6"/>
    <x v="1"/>
    <n v="4"/>
    <n v="17035.72"/>
    <x v="2"/>
    <d v="2026-03-29T00:00:00"/>
    <n v="68142.880000000005"/>
    <x v="0"/>
  </r>
  <r>
    <s v="ORD1571"/>
    <x v="2"/>
    <x v="2"/>
    <n v="5"/>
    <n v="490.94"/>
    <x v="8"/>
    <d v="2026-03-25T00:00:00"/>
    <n v="2454.6999999999998"/>
    <x v="0"/>
  </r>
  <r>
    <s v="ORD1572"/>
    <x v="13"/>
    <x v="1"/>
    <n v="3"/>
    <n v="58119.03"/>
    <x v="3"/>
    <d v="2026-05-06T00:00:00"/>
    <n v="174357.09"/>
    <x v="3"/>
  </r>
  <r>
    <s v="ORD1573"/>
    <x v="1"/>
    <x v="1"/>
    <n v="3"/>
    <n v="1515.91"/>
    <x v="8"/>
    <d v="2026-04-21T00:00:00"/>
    <n v="4547.7300000000005"/>
    <x v="5"/>
  </r>
  <r>
    <s v="ORD1574"/>
    <x v="11"/>
    <x v="1"/>
    <n v="5"/>
    <n v="2270.6999999999998"/>
    <x v="2"/>
    <d v="2026-06-08T00:00:00"/>
    <n v="11353.5"/>
    <x v="4"/>
  </r>
  <r>
    <s v="ORD1575"/>
    <x v="4"/>
    <x v="3"/>
    <n v="2"/>
    <n v="833.05"/>
    <x v="2"/>
    <d v="2026-03-10T00:00:00"/>
    <n v="1666.1"/>
    <x v="0"/>
  </r>
  <r>
    <s v="ORD1576"/>
    <x v="11"/>
    <x v="1"/>
    <n v="4"/>
    <n v="2293.14"/>
    <x v="4"/>
    <d v="2026-04-10T00:00:00"/>
    <n v="9172.56"/>
    <x v="5"/>
  </r>
  <r>
    <s v="ORD1577"/>
    <x v="9"/>
    <x v="3"/>
    <n v="3"/>
    <n v="2302.35"/>
    <x v="7"/>
    <d v="2026-03-20T00:00:00"/>
    <n v="6907.0499999999993"/>
    <x v="0"/>
  </r>
  <r>
    <s v="ORD1578"/>
    <x v="8"/>
    <x v="4"/>
    <n v="3"/>
    <n v="3682.94"/>
    <x v="2"/>
    <d v="2026-02-03T00:00:00"/>
    <n v="11048.82"/>
    <x v="2"/>
  </r>
  <r>
    <s v="ORD1579"/>
    <x v="6"/>
    <x v="1"/>
    <n v="2"/>
    <n v="17751.53"/>
    <x v="1"/>
    <d v="2026-05-23T00:00:00"/>
    <n v="35503.06"/>
    <x v="3"/>
  </r>
  <r>
    <s v="ORD1580"/>
    <x v="12"/>
    <x v="4"/>
    <n v="4"/>
    <n v="3866.77"/>
    <x v="2"/>
    <d v="2026-04-01T00:00:00"/>
    <n v="15467.08"/>
    <x v="5"/>
  </r>
  <r>
    <s v="ORD1581"/>
    <x v="12"/>
    <x v="4"/>
    <n v="1"/>
    <n v="4281.42"/>
    <x v="6"/>
    <d v="2026-04-09T00:00:00"/>
    <n v="4281.42"/>
    <x v="5"/>
  </r>
  <r>
    <s v="ORD1582"/>
    <x v="13"/>
    <x v="1"/>
    <n v="3"/>
    <n v="54051.91"/>
    <x v="2"/>
    <d v="2026-05-24T00:00:00"/>
    <n v="162155.73000000001"/>
    <x v="3"/>
  </r>
  <r>
    <s v="ORD1583"/>
    <x v="1"/>
    <x v="1"/>
    <n v="5"/>
    <n v="1506.33"/>
    <x v="8"/>
    <d v="2026-02-13T00:00:00"/>
    <n v="7531.65"/>
    <x v="2"/>
  </r>
  <r>
    <s v="ORD1584"/>
    <x v="11"/>
    <x v="1"/>
    <n v="3"/>
    <n v="2112.5"/>
    <x v="3"/>
    <d v="2026-02-07T00:00:00"/>
    <n v="6337.5"/>
    <x v="2"/>
  </r>
  <r>
    <s v="ORD1585"/>
    <x v="6"/>
    <x v="1"/>
    <n v="2"/>
    <n v="17764.830000000002"/>
    <x v="8"/>
    <d v="2026-03-18T00:00:00"/>
    <n v="35529.660000000003"/>
    <x v="0"/>
  </r>
  <r>
    <s v="ORD1586"/>
    <x v="8"/>
    <x v="4"/>
    <n v="1"/>
    <n v="3402.79"/>
    <x v="5"/>
    <d v="2026-06-10T00:00:00"/>
    <n v="3402.79"/>
    <x v="4"/>
  </r>
  <r>
    <s v="ORD1587"/>
    <x v="8"/>
    <x v="4"/>
    <n v="5"/>
    <n v="3581.67"/>
    <x v="3"/>
    <d v="2026-01-28T00:00:00"/>
    <n v="17908.349999999999"/>
    <x v="1"/>
  </r>
  <r>
    <s v="ORD1588"/>
    <x v="11"/>
    <x v="1"/>
    <n v="3"/>
    <n v="1982.98"/>
    <x v="8"/>
    <d v="2026-03-27T00:00:00"/>
    <n v="5948.9400000000005"/>
    <x v="0"/>
  </r>
  <r>
    <s v="ORD1589"/>
    <x v="7"/>
    <x v="4"/>
    <n v="5"/>
    <n v="6343.86"/>
    <x v="6"/>
    <d v="2026-04-23T00:00:00"/>
    <n v="31719.3"/>
    <x v="5"/>
  </r>
  <r>
    <s v="ORD1590"/>
    <x v="9"/>
    <x v="3"/>
    <n v="4"/>
    <n v="2656.67"/>
    <x v="9"/>
    <d v="2026-02-04T00:00:00"/>
    <n v="10626.68"/>
    <x v="2"/>
  </r>
  <r>
    <s v="ORD1591"/>
    <x v="4"/>
    <x v="3"/>
    <n v="3"/>
    <n v="815.49"/>
    <x v="5"/>
    <d v="2026-05-03T00:00:00"/>
    <n v="2446.4700000000003"/>
    <x v="3"/>
  </r>
  <r>
    <s v="ORD1592"/>
    <x v="9"/>
    <x v="3"/>
    <n v="2"/>
    <n v="2731.19"/>
    <x v="6"/>
    <d v="2026-03-16T00:00:00"/>
    <n v="5462.38"/>
    <x v="0"/>
  </r>
  <r>
    <s v="ORD1593"/>
    <x v="3"/>
    <x v="1"/>
    <n v="4"/>
    <n v="30619.47"/>
    <x v="5"/>
    <d v="2026-03-25T00:00:00"/>
    <n v="122477.88"/>
    <x v="0"/>
  </r>
  <r>
    <s v="ORD1594"/>
    <x v="5"/>
    <x v="0"/>
    <n v="3"/>
    <n v="5315.43"/>
    <x v="8"/>
    <d v="2026-04-04T00:00:00"/>
    <n v="15946.29"/>
    <x v="5"/>
  </r>
  <r>
    <s v="ORD1595"/>
    <x v="6"/>
    <x v="1"/>
    <n v="5"/>
    <n v="16919.28"/>
    <x v="1"/>
    <d v="2026-02-16T00:00:00"/>
    <n v="84596.4"/>
    <x v="2"/>
  </r>
  <r>
    <s v="ORD1596"/>
    <x v="0"/>
    <x v="0"/>
    <n v="5"/>
    <n v="1629.69"/>
    <x v="3"/>
    <d v="2026-02-23T00:00:00"/>
    <n v="8148.4500000000007"/>
    <x v="2"/>
  </r>
  <r>
    <s v="ORD1597"/>
    <x v="8"/>
    <x v="4"/>
    <n v="3"/>
    <n v="3731.9"/>
    <x v="2"/>
    <d v="2026-04-15T00:00:00"/>
    <n v="11195.7"/>
    <x v="5"/>
  </r>
  <r>
    <s v="ORD1598"/>
    <x v="0"/>
    <x v="0"/>
    <n v="4"/>
    <n v="1670.1"/>
    <x v="0"/>
    <d v="2026-03-03T00:00:00"/>
    <n v="6680.4"/>
    <x v="0"/>
  </r>
  <r>
    <s v="ORD1599"/>
    <x v="4"/>
    <x v="3"/>
    <n v="2"/>
    <n v="833.39"/>
    <x v="8"/>
    <d v="2026-01-19T00:00:00"/>
    <n v="1666.78"/>
    <x v="1"/>
  </r>
  <r>
    <s v="ORD1600"/>
    <x v="8"/>
    <x v="4"/>
    <n v="5"/>
    <n v="3485.46"/>
    <x v="8"/>
    <d v="2026-05-17T00:00:00"/>
    <n v="17427.3"/>
    <x v="3"/>
  </r>
  <r>
    <s v="ORD1601"/>
    <x v="12"/>
    <x v="4"/>
    <n v="4"/>
    <n v="4236.66"/>
    <x v="6"/>
    <d v="2026-06-29T00:00:00"/>
    <n v="16946.64"/>
    <x v="4"/>
  </r>
  <r>
    <s v="ORD1602"/>
    <x v="10"/>
    <x v="3"/>
    <n v="5"/>
    <n v="2036.51"/>
    <x v="2"/>
    <d v="2026-01-28T00:00:00"/>
    <n v="10182.549999999999"/>
    <x v="1"/>
  </r>
  <r>
    <s v="ORD1603"/>
    <x v="10"/>
    <x v="3"/>
    <n v="2"/>
    <n v="2062.0100000000002"/>
    <x v="6"/>
    <d v="2026-02-12T00:00:00"/>
    <n v="4124.0200000000004"/>
    <x v="2"/>
  </r>
  <r>
    <s v="ORD1604"/>
    <x v="0"/>
    <x v="0"/>
    <n v="5"/>
    <n v="1635.95"/>
    <x v="8"/>
    <d v="2026-03-26T00:00:00"/>
    <n v="8179.75"/>
    <x v="0"/>
  </r>
  <r>
    <s v="ORD1605"/>
    <x v="10"/>
    <x v="3"/>
    <n v="4"/>
    <n v="1841.46"/>
    <x v="2"/>
    <d v="2026-03-08T00:00:00"/>
    <n v="7365.84"/>
    <x v="0"/>
  </r>
  <r>
    <s v="ORD1606"/>
    <x v="1"/>
    <x v="1"/>
    <n v="5"/>
    <n v="1574.06"/>
    <x v="1"/>
    <d v="2026-05-29T00:00:00"/>
    <n v="7870.2999999999993"/>
    <x v="3"/>
  </r>
  <r>
    <s v="ORD1607"/>
    <x v="3"/>
    <x v="1"/>
    <n v="5"/>
    <n v="26437.78"/>
    <x v="6"/>
    <d v="2026-04-11T00:00:00"/>
    <n v="132188.9"/>
    <x v="5"/>
  </r>
  <r>
    <s v="ORD1608"/>
    <x v="8"/>
    <x v="4"/>
    <n v="5"/>
    <n v="3633.31"/>
    <x v="4"/>
    <d v="2026-03-30T00:00:00"/>
    <n v="18166.55"/>
    <x v="0"/>
  </r>
  <r>
    <s v="ORD1609"/>
    <x v="13"/>
    <x v="1"/>
    <n v="4"/>
    <n v="50650.04"/>
    <x v="8"/>
    <d v="2026-01-22T00:00:00"/>
    <n v="202600.16"/>
    <x v="1"/>
  </r>
  <r>
    <s v="ORD1610"/>
    <x v="6"/>
    <x v="1"/>
    <n v="2"/>
    <n v="17453.98"/>
    <x v="6"/>
    <d v="2026-04-27T00:00:00"/>
    <n v="34907.96"/>
    <x v="5"/>
  </r>
  <r>
    <s v="ORD1611"/>
    <x v="10"/>
    <x v="3"/>
    <n v="2"/>
    <n v="2007.44"/>
    <x v="6"/>
    <d v="2026-05-02T00:00:00"/>
    <n v="4014.88"/>
    <x v="3"/>
  </r>
  <r>
    <s v="ORD1612"/>
    <x v="6"/>
    <x v="1"/>
    <n v="4"/>
    <n v="18799.18"/>
    <x v="3"/>
    <d v="2026-03-23T00:00:00"/>
    <n v="75196.72"/>
    <x v="0"/>
  </r>
  <r>
    <s v="ORD1613"/>
    <x v="6"/>
    <x v="1"/>
    <n v="3"/>
    <n v="16360.86"/>
    <x v="2"/>
    <d v="2026-01-06T00:00:00"/>
    <n v="49082.58"/>
    <x v="1"/>
  </r>
  <r>
    <s v="ORD1614"/>
    <x v="7"/>
    <x v="4"/>
    <n v="3"/>
    <n v="6692.36"/>
    <x v="4"/>
    <d v="2026-03-04T00:00:00"/>
    <n v="20077.079999999998"/>
    <x v="0"/>
  </r>
  <r>
    <s v="ORD1615"/>
    <x v="12"/>
    <x v="4"/>
    <n v="2"/>
    <n v="4243.6000000000004"/>
    <x v="6"/>
    <d v="2026-05-24T00:00:00"/>
    <n v="8487.2000000000007"/>
    <x v="3"/>
  </r>
  <r>
    <s v="ORD1616"/>
    <x v="5"/>
    <x v="0"/>
    <n v="4"/>
    <n v="4730.91"/>
    <x v="8"/>
    <d v="2026-06-11T00:00:00"/>
    <n v="18923.64"/>
    <x v="4"/>
  </r>
  <r>
    <s v="ORD1617"/>
    <x v="11"/>
    <x v="1"/>
    <n v="2"/>
    <n v="2261.81"/>
    <x v="8"/>
    <d v="2026-04-12T00:00:00"/>
    <n v="4523.62"/>
    <x v="5"/>
  </r>
  <r>
    <s v="ORD1618"/>
    <x v="13"/>
    <x v="1"/>
    <n v="5"/>
    <n v="59214.07"/>
    <x v="3"/>
    <d v="2026-06-01T00:00:00"/>
    <n v="296070.34999999998"/>
    <x v="4"/>
  </r>
  <r>
    <s v="ORD1619"/>
    <x v="5"/>
    <x v="0"/>
    <n v="4"/>
    <n v="4503.55"/>
    <x v="5"/>
    <d v="2026-02-22T00:00:00"/>
    <n v="18014.2"/>
    <x v="2"/>
  </r>
  <r>
    <s v="ORD1620"/>
    <x v="4"/>
    <x v="3"/>
    <n v="1"/>
    <n v="811.36"/>
    <x v="1"/>
    <d v="2026-02-17T00:00:00"/>
    <n v="811.36"/>
    <x v="2"/>
  </r>
  <r>
    <s v="ORD1621"/>
    <x v="9"/>
    <x v="3"/>
    <n v="3"/>
    <n v="2347.6"/>
    <x v="2"/>
    <d v="2026-03-09T00:00:00"/>
    <n v="7042.7999999999993"/>
    <x v="0"/>
  </r>
  <r>
    <s v="ORD1622"/>
    <x v="0"/>
    <x v="0"/>
    <n v="4"/>
    <n v="1809.98"/>
    <x v="6"/>
    <d v="2026-06-02T00:00:00"/>
    <n v="7239.92"/>
    <x v="4"/>
  </r>
  <r>
    <s v="ORD1623"/>
    <x v="5"/>
    <x v="0"/>
    <n v="5"/>
    <n v="4891.57"/>
    <x v="2"/>
    <d v="2026-03-31T00:00:00"/>
    <n v="24457.85"/>
    <x v="0"/>
  </r>
  <r>
    <s v="ORD1624"/>
    <x v="9"/>
    <x v="3"/>
    <n v="4"/>
    <n v="2557.66"/>
    <x v="0"/>
    <d v="2026-06-07T00:00:00"/>
    <n v="10230.64"/>
    <x v="4"/>
  </r>
  <r>
    <s v="ORD1625"/>
    <x v="2"/>
    <x v="2"/>
    <n v="1"/>
    <n v="465.49"/>
    <x v="6"/>
    <d v="2026-01-31T00:00:00"/>
    <n v="465.49"/>
    <x v="1"/>
  </r>
  <r>
    <s v="ORD1626"/>
    <x v="1"/>
    <x v="1"/>
    <n v="3"/>
    <n v="1385.08"/>
    <x v="6"/>
    <d v="2026-06-27T00:00:00"/>
    <n v="4155.24"/>
    <x v="4"/>
  </r>
  <r>
    <s v="ORD1627"/>
    <x v="11"/>
    <x v="1"/>
    <n v="5"/>
    <n v="2150.92"/>
    <x v="9"/>
    <d v="2026-02-05T00:00:00"/>
    <n v="10754.6"/>
    <x v="2"/>
  </r>
  <r>
    <s v="ORD1628"/>
    <x v="2"/>
    <x v="2"/>
    <n v="4"/>
    <n v="443.07"/>
    <x v="3"/>
    <d v="2026-06-12T00:00:00"/>
    <n v="1772.28"/>
    <x v="4"/>
  </r>
  <r>
    <s v="ORD1629"/>
    <x v="12"/>
    <x v="4"/>
    <n v="2"/>
    <n v="4246.13"/>
    <x v="3"/>
    <d v="2026-03-15T00:00:00"/>
    <n v="8492.26"/>
    <x v="0"/>
  </r>
  <r>
    <s v="ORD1630"/>
    <x v="11"/>
    <x v="1"/>
    <n v="2"/>
    <n v="2118.42"/>
    <x v="3"/>
    <d v="2026-06-08T00:00:00"/>
    <n v="4236.84"/>
    <x v="4"/>
  </r>
  <r>
    <s v="ORD1631"/>
    <x v="13"/>
    <x v="1"/>
    <n v="3"/>
    <n v="59970.26"/>
    <x v="3"/>
    <d v="2026-02-04T00:00:00"/>
    <n v="179910.78"/>
    <x v="2"/>
  </r>
  <r>
    <s v="ORD1632"/>
    <x v="1"/>
    <x v="1"/>
    <n v="4"/>
    <n v="1639.15"/>
    <x v="1"/>
    <d v="2026-06-17T00:00:00"/>
    <n v="6556.6"/>
    <x v="4"/>
  </r>
  <r>
    <s v="ORD1633"/>
    <x v="8"/>
    <x v="4"/>
    <n v="4"/>
    <n v="3629.29"/>
    <x v="8"/>
    <d v="2026-04-24T00:00:00"/>
    <n v="14517.16"/>
    <x v="5"/>
  </r>
  <r>
    <s v="ORD1634"/>
    <x v="8"/>
    <x v="4"/>
    <n v="2"/>
    <n v="3207.87"/>
    <x v="7"/>
    <d v="2026-02-26T00:00:00"/>
    <n v="6415.74"/>
    <x v="2"/>
  </r>
  <r>
    <s v="ORD1635"/>
    <x v="4"/>
    <x v="3"/>
    <n v="1"/>
    <n v="763.02"/>
    <x v="1"/>
    <d v="2026-03-15T00:00:00"/>
    <n v="763.02"/>
    <x v="0"/>
  </r>
  <r>
    <s v="ORD1636"/>
    <x v="11"/>
    <x v="1"/>
    <n v="4"/>
    <n v="2228.89"/>
    <x v="3"/>
    <d v="2026-05-21T00:00:00"/>
    <n v="8915.56"/>
    <x v="3"/>
  </r>
  <r>
    <s v="ORD1637"/>
    <x v="12"/>
    <x v="4"/>
    <n v="1"/>
    <n v="4261.08"/>
    <x v="0"/>
    <d v="2026-05-20T00:00:00"/>
    <n v="4261.08"/>
    <x v="3"/>
  </r>
  <r>
    <s v="ORD1638"/>
    <x v="7"/>
    <x v="4"/>
    <n v="3"/>
    <n v="6554.66"/>
    <x v="7"/>
    <d v="2026-04-23T00:00:00"/>
    <n v="19663.98"/>
    <x v="5"/>
  </r>
  <r>
    <s v="ORD1639"/>
    <x v="12"/>
    <x v="4"/>
    <n v="2"/>
    <n v="4611.41"/>
    <x v="2"/>
    <d v="2026-06-17T00:00:00"/>
    <n v="9222.82"/>
    <x v="4"/>
  </r>
  <r>
    <s v="ORD1640"/>
    <x v="10"/>
    <x v="3"/>
    <n v="2"/>
    <n v="1918.12"/>
    <x v="7"/>
    <d v="2026-04-26T00:00:00"/>
    <n v="3836.24"/>
    <x v="5"/>
  </r>
  <r>
    <s v="ORD1641"/>
    <x v="4"/>
    <x v="3"/>
    <n v="3"/>
    <n v="856.88"/>
    <x v="2"/>
    <d v="2026-04-23T00:00:00"/>
    <n v="2570.64"/>
    <x v="5"/>
  </r>
  <r>
    <s v="ORD1642"/>
    <x v="7"/>
    <x v="4"/>
    <n v="1"/>
    <n v="6858.32"/>
    <x v="5"/>
    <d v="2026-02-23T00:00:00"/>
    <n v="6858.32"/>
    <x v="2"/>
  </r>
  <r>
    <s v="ORD1643"/>
    <x v="10"/>
    <x v="3"/>
    <n v="5"/>
    <n v="2074.62"/>
    <x v="9"/>
    <d v="2026-06-11T00:00:00"/>
    <n v="10373.099999999999"/>
    <x v="4"/>
  </r>
  <r>
    <s v="ORD1644"/>
    <x v="5"/>
    <x v="0"/>
    <n v="2"/>
    <n v="5115.13"/>
    <x v="5"/>
    <d v="2026-02-22T00:00:00"/>
    <n v="10230.26"/>
    <x v="2"/>
  </r>
  <r>
    <s v="ORD1645"/>
    <x v="10"/>
    <x v="3"/>
    <n v="1"/>
    <n v="2027.02"/>
    <x v="1"/>
    <d v="2026-03-13T00:00:00"/>
    <n v="2027.02"/>
    <x v="0"/>
  </r>
  <r>
    <s v="ORD1646"/>
    <x v="2"/>
    <x v="2"/>
    <n v="5"/>
    <n v="420.15"/>
    <x v="0"/>
    <d v="2026-03-16T00:00:00"/>
    <n v="2100.75"/>
    <x v="0"/>
  </r>
  <r>
    <s v="ORD1647"/>
    <x v="2"/>
    <x v="2"/>
    <n v="3"/>
    <n v="490.72"/>
    <x v="1"/>
    <d v="2026-06-23T00:00:00"/>
    <n v="1472.16"/>
    <x v="4"/>
  </r>
  <r>
    <s v="ORD1648"/>
    <x v="7"/>
    <x v="4"/>
    <n v="1"/>
    <n v="6026.27"/>
    <x v="8"/>
    <d v="2026-01-16T00:00:00"/>
    <n v="6026.27"/>
    <x v="1"/>
  </r>
  <r>
    <s v="ORD1649"/>
    <x v="4"/>
    <x v="3"/>
    <n v="2"/>
    <n v="831.19"/>
    <x v="4"/>
    <d v="2026-03-05T00:00:00"/>
    <n v="1662.38"/>
    <x v="0"/>
  </r>
  <r>
    <s v="ORD1650"/>
    <x v="11"/>
    <x v="1"/>
    <n v="3"/>
    <n v="2344.5300000000002"/>
    <x v="8"/>
    <d v="2026-05-06T00:00:00"/>
    <n v="7033.59"/>
    <x v="3"/>
  </r>
  <r>
    <s v="ORD1651"/>
    <x v="11"/>
    <x v="1"/>
    <n v="5"/>
    <n v="2258.2600000000002"/>
    <x v="8"/>
    <d v="2026-04-07T00:00:00"/>
    <n v="11291.300000000001"/>
    <x v="5"/>
  </r>
  <r>
    <s v="ORD1652"/>
    <x v="8"/>
    <x v="4"/>
    <n v="1"/>
    <n v="3593.54"/>
    <x v="2"/>
    <d v="2026-04-14T00:00:00"/>
    <n v="3593.54"/>
    <x v="5"/>
  </r>
  <r>
    <s v="ORD1653"/>
    <x v="12"/>
    <x v="4"/>
    <n v="3"/>
    <n v="4363.55"/>
    <x v="6"/>
    <d v="2026-04-27T00:00:00"/>
    <n v="13090.650000000001"/>
    <x v="5"/>
  </r>
  <r>
    <s v="ORD1654"/>
    <x v="8"/>
    <x v="4"/>
    <n v="3"/>
    <n v="3557.37"/>
    <x v="2"/>
    <d v="2026-04-28T00:00:00"/>
    <n v="10672.11"/>
    <x v="5"/>
  </r>
  <r>
    <s v="ORD1655"/>
    <x v="0"/>
    <x v="0"/>
    <n v="3"/>
    <n v="1926.04"/>
    <x v="1"/>
    <d v="2026-04-12T00:00:00"/>
    <n v="5778.12"/>
    <x v="5"/>
  </r>
  <r>
    <s v="ORD1656"/>
    <x v="1"/>
    <x v="1"/>
    <n v="4"/>
    <n v="1597.45"/>
    <x v="3"/>
    <d v="2026-03-10T00:00:00"/>
    <n v="6389.8"/>
    <x v="0"/>
  </r>
  <r>
    <s v="ORD1657"/>
    <x v="9"/>
    <x v="3"/>
    <n v="3"/>
    <n v="2417.91"/>
    <x v="9"/>
    <d v="2026-02-03T00:00:00"/>
    <n v="7253.73"/>
    <x v="2"/>
  </r>
  <r>
    <s v="ORD1658"/>
    <x v="2"/>
    <x v="2"/>
    <n v="4"/>
    <n v="475.95"/>
    <x v="7"/>
    <d v="2026-01-12T00:00:00"/>
    <n v="1903.8"/>
    <x v="1"/>
  </r>
  <r>
    <s v="ORD1659"/>
    <x v="6"/>
    <x v="1"/>
    <n v="4"/>
    <n v="16258.61"/>
    <x v="4"/>
    <d v="2026-04-23T00:00:00"/>
    <n v="65034.44"/>
    <x v="5"/>
  </r>
  <r>
    <s v="ORD1660"/>
    <x v="8"/>
    <x v="4"/>
    <n v="1"/>
    <n v="3844.29"/>
    <x v="8"/>
    <d v="2026-02-21T00:00:00"/>
    <n v="3844.29"/>
    <x v="2"/>
  </r>
  <r>
    <s v="ORD1661"/>
    <x v="3"/>
    <x v="1"/>
    <n v="2"/>
    <n v="30140.03"/>
    <x v="0"/>
    <d v="2026-02-10T00:00:00"/>
    <n v="60280.06"/>
    <x v="2"/>
  </r>
  <r>
    <s v="ORD1662"/>
    <x v="7"/>
    <x v="4"/>
    <n v="3"/>
    <n v="5971.34"/>
    <x v="6"/>
    <d v="2026-03-06T00:00:00"/>
    <n v="17914.02"/>
    <x v="0"/>
  </r>
  <r>
    <s v="ORD1663"/>
    <x v="6"/>
    <x v="1"/>
    <n v="3"/>
    <n v="18592.23"/>
    <x v="4"/>
    <d v="2026-01-14T00:00:00"/>
    <n v="55776.69"/>
    <x v="1"/>
  </r>
  <r>
    <s v="ORD1664"/>
    <x v="5"/>
    <x v="0"/>
    <n v="3"/>
    <n v="5224.9399999999996"/>
    <x v="5"/>
    <d v="2026-04-20T00:00:00"/>
    <n v="15674.82"/>
    <x v="5"/>
  </r>
  <r>
    <s v="ORD1665"/>
    <x v="0"/>
    <x v="0"/>
    <n v="1"/>
    <n v="1873.33"/>
    <x v="7"/>
    <d v="2026-02-24T00:00:00"/>
    <n v="1873.33"/>
    <x v="2"/>
  </r>
  <r>
    <s v="ORD1666"/>
    <x v="8"/>
    <x v="4"/>
    <n v="1"/>
    <n v="3242.89"/>
    <x v="5"/>
    <d v="2026-05-13T00:00:00"/>
    <n v="3242.89"/>
    <x v="3"/>
  </r>
  <r>
    <s v="ORD1667"/>
    <x v="0"/>
    <x v="0"/>
    <n v="4"/>
    <n v="1623.34"/>
    <x v="6"/>
    <d v="2026-01-31T00:00:00"/>
    <n v="6493.36"/>
    <x v="1"/>
  </r>
  <r>
    <s v="ORD1668"/>
    <x v="7"/>
    <x v="4"/>
    <n v="4"/>
    <n v="6752.24"/>
    <x v="3"/>
    <d v="2026-01-19T00:00:00"/>
    <n v="27008.959999999999"/>
    <x v="1"/>
  </r>
  <r>
    <s v="ORD1669"/>
    <x v="1"/>
    <x v="1"/>
    <n v="4"/>
    <n v="1376.8"/>
    <x v="2"/>
    <d v="2026-01-27T00:00:00"/>
    <n v="5507.2"/>
    <x v="1"/>
  </r>
  <r>
    <s v="ORD1670"/>
    <x v="9"/>
    <x v="3"/>
    <n v="3"/>
    <n v="2689.42"/>
    <x v="4"/>
    <d v="2026-04-08T00:00:00"/>
    <n v="8068.26"/>
    <x v="5"/>
  </r>
  <r>
    <s v="ORD1671"/>
    <x v="10"/>
    <x v="3"/>
    <n v="2"/>
    <n v="2055.6"/>
    <x v="4"/>
    <d v="2026-01-18T00:00:00"/>
    <n v="4111.2"/>
    <x v="1"/>
  </r>
  <r>
    <s v="ORD1672"/>
    <x v="12"/>
    <x v="4"/>
    <n v="5"/>
    <n v="3787.12"/>
    <x v="4"/>
    <d v="2026-04-23T00:00:00"/>
    <n v="18935.599999999999"/>
    <x v="5"/>
  </r>
  <r>
    <s v="ORD1673"/>
    <x v="9"/>
    <x v="3"/>
    <n v="2"/>
    <n v="2563.0100000000002"/>
    <x v="4"/>
    <d v="2026-04-16T00:00:00"/>
    <n v="5126.0200000000004"/>
    <x v="5"/>
  </r>
  <r>
    <s v="ORD1674"/>
    <x v="2"/>
    <x v="2"/>
    <n v="4"/>
    <n v="482.4"/>
    <x v="2"/>
    <d v="2026-01-26T00:00:00"/>
    <n v="1929.6"/>
    <x v="1"/>
  </r>
  <r>
    <s v="ORD1675"/>
    <x v="11"/>
    <x v="1"/>
    <n v="1"/>
    <n v="2239.41"/>
    <x v="8"/>
    <d v="2026-03-31T00:00:00"/>
    <n v="2239.41"/>
    <x v="0"/>
  </r>
  <r>
    <s v="ORD1676"/>
    <x v="5"/>
    <x v="0"/>
    <n v="3"/>
    <n v="5290.02"/>
    <x v="5"/>
    <d v="2026-03-12T00:00:00"/>
    <n v="15870.060000000001"/>
    <x v="0"/>
  </r>
  <r>
    <s v="ORD1677"/>
    <x v="0"/>
    <x v="0"/>
    <n v="1"/>
    <n v="1709.34"/>
    <x v="9"/>
    <d v="2026-06-03T00:00:00"/>
    <n v="1709.34"/>
    <x v="4"/>
  </r>
  <r>
    <s v="ORD1678"/>
    <x v="3"/>
    <x v="1"/>
    <n v="5"/>
    <n v="26795.56"/>
    <x v="7"/>
    <d v="2026-06-18T00:00:00"/>
    <n v="133977.80000000002"/>
    <x v="4"/>
  </r>
  <r>
    <s v="ORD1679"/>
    <x v="4"/>
    <x v="3"/>
    <n v="2"/>
    <n v="801.84"/>
    <x v="1"/>
    <d v="2026-02-18T00:00:00"/>
    <n v="1603.68"/>
    <x v="2"/>
  </r>
  <r>
    <s v="ORD1680"/>
    <x v="3"/>
    <x v="1"/>
    <n v="4"/>
    <n v="26855.040000000001"/>
    <x v="7"/>
    <d v="2026-03-03T00:00:00"/>
    <n v="107420.16"/>
    <x v="0"/>
  </r>
  <r>
    <s v="ORD1681"/>
    <x v="8"/>
    <x v="4"/>
    <n v="4"/>
    <n v="3228.92"/>
    <x v="3"/>
    <d v="2026-06-13T00:00:00"/>
    <n v="12915.68"/>
    <x v="4"/>
  </r>
  <r>
    <s v="ORD1682"/>
    <x v="2"/>
    <x v="2"/>
    <n v="1"/>
    <n v="452.55"/>
    <x v="7"/>
    <d v="2026-04-03T00:00:00"/>
    <n v="452.55"/>
    <x v="5"/>
  </r>
  <r>
    <s v="ORD1683"/>
    <x v="9"/>
    <x v="3"/>
    <n v="2"/>
    <n v="2442.44"/>
    <x v="9"/>
    <d v="2026-04-18T00:00:00"/>
    <n v="4884.88"/>
    <x v="5"/>
  </r>
  <r>
    <s v="ORD1684"/>
    <x v="9"/>
    <x v="3"/>
    <n v="5"/>
    <n v="2590.4299999999998"/>
    <x v="3"/>
    <d v="2026-01-19T00:00:00"/>
    <n v="12952.15"/>
    <x v="1"/>
  </r>
  <r>
    <s v="ORD1685"/>
    <x v="13"/>
    <x v="1"/>
    <n v="5"/>
    <n v="50242.86"/>
    <x v="0"/>
    <d v="2026-02-25T00:00:00"/>
    <n v="251214.3"/>
    <x v="2"/>
  </r>
  <r>
    <s v="ORD1686"/>
    <x v="13"/>
    <x v="1"/>
    <n v="1"/>
    <n v="59935.48"/>
    <x v="8"/>
    <d v="2026-05-10T00:00:00"/>
    <n v="59935.48"/>
    <x v="3"/>
  </r>
  <r>
    <s v="ORD1687"/>
    <x v="4"/>
    <x v="3"/>
    <n v="5"/>
    <n v="841.68"/>
    <x v="8"/>
    <d v="2026-06-29T00:00:00"/>
    <n v="4208.3999999999996"/>
    <x v="4"/>
  </r>
  <r>
    <s v="ORD1688"/>
    <x v="5"/>
    <x v="0"/>
    <n v="1"/>
    <n v="5139.51"/>
    <x v="1"/>
    <d v="2026-06-07T00:00:00"/>
    <n v="5139.51"/>
    <x v="4"/>
  </r>
  <r>
    <s v="ORD1689"/>
    <x v="11"/>
    <x v="1"/>
    <n v="3"/>
    <n v="2016.78"/>
    <x v="2"/>
    <d v="2026-05-11T00:00:00"/>
    <n v="6050.34"/>
    <x v="3"/>
  </r>
  <r>
    <s v="ORD1690"/>
    <x v="1"/>
    <x v="1"/>
    <n v="2"/>
    <n v="1510.92"/>
    <x v="8"/>
    <d v="2026-05-31T00:00:00"/>
    <n v="3021.84"/>
    <x v="3"/>
  </r>
  <r>
    <s v="ORD1691"/>
    <x v="0"/>
    <x v="0"/>
    <n v="1"/>
    <n v="1731.66"/>
    <x v="8"/>
    <d v="2026-03-03T00:00:00"/>
    <n v="1731.66"/>
    <x v="0"/>
  </r>
  <r>
    <s v="ORD1692"/>
    <x v="13"/>
    <x v="1"/>
    <n v="2"/>
    <n v="50448.34"/>
    <x v="8"/>
    <d v="2026-01-30T00:00:00"/>
    <n v="100896.68"/>
    <x v="1"/>
  </r>
  <r>
    <s v="ORD1693"/>
    <x v="8"/>
    <x v="4"/>
    <n v="5"/>
    <n v="3576.18"/>
    <x v="0"/>
    <d v="2026-06-20T00:00:00"/>
    <n v="17880.899999999998"/>
    <x v="4"/>
  </r>
  <r>
    <s v="ORD1694"/>
    <x v="3"/>
    <x v="1"/>
    <n v="2"/>
    <n v="25868.880000000001"/>
    <x v="4"/>
    <d v="2026-06-29T00:00:00"/>
    <n v="51737.760000000002"/>
    <x v="4"/>
  </r>
  <r>
    <s v="ORD1695"/>
    <x v="13"/>
    <x v="1"/>
    <n v="2"/>
    <n v="54960.54"/>
    <x v="6"/>
    <d v="2026-05-14T00:00:00"/>
    <n v="109921.08"/>
    <x v="3"/>
  </r>
  <r>
    <s v="ORD1696"/>
    <x v="12"/>
    <x v="4"/>
    <n v="3"/>
    <n v="3920.25"/>
    <x v="4"/>
    <d v="2026-03-10T00:00:00"/>
    <n v="11760.75"/>
    <x v="0"/>
  </r>
  <r>
    <s v="ORD1697"/>
    <x v="3"/>
    <x v="1"/>
    <n v="1"/>
    <n v="29520.01"/>
    <x v="7"/>
    <d v="2026-03-27T00:00:00"/>
    <n v="29520.01"/>
    <x v="0"/>
  </r>
  <r>
    <s v="ORD1698"/>
    <x v="10"/>
    <x v="3"/>
    <n v="4"/>
    <n v="1907.84"/>
    <x v="2"/>
    <d v="2026-03-09T00:00:00"/>
    <n v="7631.36"/>
    <x v="0"/>
  </r>
  <r>
    <s v="ORD1699"/>
    <x v="3"/>
    <x v="1"/>
    <n v="5"/>
    <n v="28714.18"/>
    <x v="3"/>
    <d v="2026-04-27T00:00:00"/>
    <n v="143570.9"/>
    <x v="5"/>
  </r>
  <r>
    <s v="ORD1700"/>
    <x v="12"/>
    <x v="4"/>
    <n v="3"/>
    <n v="3826.57"/>
    <x v="9"/>
    <d v="2026-02-12T00:00:00"/>
    <n v="11479.710000000001"/>
    <x v="2"/>
  </r>
  <r>
    <s v="ORD1701"/>
    <x v="9"/>
    <x v="3"/>
    <n v="2"/>
    <n v="2376.61"/>
    <x v="2"/>
    <d v="2026-05-27T00:00:00"/>
    <n v="4753.22"/>
    <x v="3"/>
  </r>
  <r>
    <s v="ORD1702"/>
    <x v="0"/>
    <x v="0"/>
    <n v="1"/>
    <n v="1702.23"/>
    <x v="1"/>
    <d v="2026-01-01T00:00:00"/>
    <n v="1702.23"/>
    <x v="1"/>
  </r>
  <r>
    <s v="ORD1703"/>
    <x v="13"/>
    <x v="1"/>
    <n v="1"/>
    <n v="52190.07"/>
    <x v="3"/>
    <d v="2026-04-04T00:00:00"/>
    <n v="52190.07"/>
    <x v="5"/>
  </r>
  <r>
    <s v="ORD1704"/>
    <x v="5"/>
    <x v="0"/>
    <n v="2"/>
    <n v="4678.03"/>
    <x v="7"/>
    <d v="2026-05-22T00:00:00"/>
    <n v="9356.06"/>
    <x v="3"/>
  </r>
  <r>
    <s v="ORD1705"/>
    <x v="10"/>
    <x v="3"/>
    <n v="4"/>
    <n v="1888.86"/>
    <x v="5"/>
    <d v="2026-04-17T00:00:00"/>
    <n v="7555.44"/>
    <x v="5"/>
  </r>
  <r>
    <s v="ORD1706"/>
    <x v="3"/>
    <x v="1"/>
    <n v="3"/>
    <n v="26719.040000000001"/>
    <x v="2"/>
    <d v="2026-05-27T00:00:00"/>
    <n v="80157.119999999995"/>
    <x v="3"/>
  </r>
  <r>
    <s v="ORD1707"/>
    <x v="9"/>
    <x v="3"/>
    <n v="1"/>
    <n v="2500.02"/>
    <x v="7"/>
    <d v="2026-02-15T00:00:00"/>
    <n v="2500.02"/>
    <x v="2"/>
  </r>
  <r>
    <s v="ORD1708"/>
    <x v="1"/>
    <x v="1"/>
    <n v="5"/>
    <n v="1644.42"/>
    <x v="8"/>
    <d v="2026-01-18T00:00:00"/>
    <n v="8222.1"/>
    <x v="1"/>
  </r>
  <r>
    <s v="ORD1709"/>
    <x v="8"/>
    <x v="4"/>
    <n v="3"/>
    <n v="3691.47"/>
    <x v="0"/>
    <d v="2026-03-25T00:00:00"/>
    <n v="11074.41"/>
    <x v="0"/>
  </r>
  <r>
    <s v="ORD1710"/>
    <x v="6"/>
    <x v="1"/>
    <n v="5"/>
    <n v="17844.29"/>
    <x v="6"/>
    <d v="2026-02-21T00:00:00"/>
    <n v="89221.450000000012"/>
    <x v="2"/>
  </r>
  <r>
    <s v="ORD1711"/>
    <x v="4"/>
    <x v="3"/>
    <n v="5"/>
    <n v="844.46"/>
    <x v="9"/>
    <d v="2026-03-04T00:00:00"/>
    <n v="4222.3"/>
    <x v="0"/>
  </r>
  <r>
    <s v="ORD1712"/>
    <x v="8"/>
    <x v="4"/>
    <n v="3"/>
    <n v="3564.18"/>
    <x v="3"/>
    <d v="2026-02-20T00:00:00"/>
    <n v="10692.539999999999"/>
    <x v="2"/>
  </r>
  <r>
    <s v="ORD1713"/>
    <x v="3"/>
    <x v="1"/>
    <n v="5"/>
    <n v="29458.7"/>
    <x v="5"/>
    <d v="2026-02-08T00:00:00"/>
    <n v="147293.5"/>
    <x v="2"/>
  </r>
  <r>
    <s v="ORD1714"/>
    <x v="13"/>
    <x v="1"/>
    <n v="4"/>
    <n v="49763.01"/>
    <x v="1"/>
    <d v="2026-03-30T00:00:00"/>
    <n v="199052.04"/>
    <x v="0"/>
  </r>
  <r>
    <s v="ORD1715"/>
    <x v="0"/>
    <x v="0"/>
    <n v="1"/>
    <n v="1962.36"/>
    <x v="7"/>
    <d v="2026-06-18T00:00:00"/>
    <n v="1962.36"/>
    <x v="4"/>
  </r>
  <r>
    <s v="ORD1716"/>
    <x v="5"/>
    <x v="0"/>
    <n v="3"/>
    <n v="4603.03"/>
    <x v="1"/>
    <d v="2026-03-02T00:00:00"/>
    <n v="13809.09"/>
    <x v="0"/>
  </r>
  <r>
    <s v="ORD1717"/>
    <x v="5"/>
    <x v="0"/>
    <n v="4"/>
    <n v="5460.09"/>
    <x v="4"/>
    <d v="2026-03-13T00:00:00"/>
    <n v="21840.36"/>
    <x v="0"/>
  </r>
  <r>
    <s v="ORD1718"/>
    <x v="6"/>
    <x v="1"/>
    <n v="1"/>
    <n v="19516.59"/>
    <x v="1"/>
    <d v="2026-04-16T00:00:00"/>
    <n v="19516.59"/>
    <x v="5"/>
  </r>
  <r>
    <s v="ORD1719"/>
    <x v="3"/>
    <x v="1"/>
    <n v="3"/>
    <n v="27767.360000000001"/>
    <x v="2"/>
    <d v="2026-05-29T00:00:00"/>
    <n v="83302.080000000002"/>
    <x v="3"/>
  </r>
  <r>
    <s v="ORD1720"/>
    <x v="6"/>
    <x v="1"/>
    <n v="5"/>
    <n v="16680.650000000001"/>
    <x v="8"/>
    <d v="2026-01-20T00:00:00"/>
    <n v="83403.25"/>
    <x v="1"/>
  </r>
  <r>
    <s v="ORD1721"/>
    <x v="2"/>
    <x v="2"/>
    <n v="5"/>
    <n v="410.61"/>
    <x v="4"/>
    <d v="2026-03-02T00:00:00"/>
    <n v="2053.0500000000002"/>
    <x v="0"/>
  </r>
  <r>
    <s v="ORD1722"/>
    <x v="4"/>
    <x v="3"/>
    <n v="3"/>
    <n v="855.08"/>
    <x v="8"/>
    <d v="2026-06-29T00:00:00"/>
    <n v="2565.2400000000002"/>
    <x v="4"/>
  </r>
  <r>
    <s v="ORD1723"/>
    <x v="7"/>
    <x v="4"/>
    <n v="3"/>
    <n v="6263.48"/>
    <x v="0"/>
    <d v="2026-03-01T00:00:00"/>
    <n v="18790.439999999999"/>
    <x v="0"/>
  </r>
  <r>
    <s v="ORD1724"/>
    <x v="6"/>
    <x v="1"/>
    <n v="2"/>
    <n v="16690"/>
    <x v="9"/>
    <d v="2026-01-28T00:00:00"/>
    <n v="33380"/>
    <x v="1"/>
  </r>
  <r>
    <s v="ORD1725"/>
    <x v="11"/>
    <x v="1"/>
    <n v="1"/>
    <n v="2052.3200000000002"/>
    <x v="3"/>
    <d v="2026-03-22T00:00:00"/>
    <n v="2052.3200000000002"/>
    <x v="0"/>
  </r>
  <r>
    <s v="ORD1726"/>
    <x v="5"/>
    <x v="0"/>
    <n v="1"/>
    <n v="5034.92"/>
    <x v="5"/>
    <d v="2026-04-26T00:00:00"/>
    <n v="5034.92"/>
    <x v="5"/>
  </r>
  <r>
    <s v="ORD1727"/>
    <x v="4"/>
    <x v="3"/>
    <n v="4"/>
    <n v="761.45"/>
    <x v="2"/>
    <d v="2026-01-24T00:00:00"/>
    <n v="3045.8"/>
    <x v="1"/>
  </r>
  <r>
    <s v="ORD1728"/>
    <x v="11"/>
    <x v="1"/>
    <n v="3"/>
    <n v="2343.61"/>
    <x v="9"/>
    <d v="2026-01-11T00:00:00"/>
    <n v="7030.83"/>
    <x v="1"/>
  </r>
  <r>
    <s v="ORD1729"/>
    <x v="1"/>
    <x v="1"/>
    <n v="3"/>
    <n v="1394.5"/>
    <x v="5"/>
    <d v="2026-04-02T00:00:00"/>
    <n v="4183.5"/>
    <x v="5"/>
  </r>
  <r>
    <s v="ORD1730"/>
    <x v="5"/>
    <x v="0"/>
    <n v="5"/>
    <n v="4548.04"/>
    <x v="0"/>
    <d v="2026-03-08T00:00:00"/>
    <n v="22740.2"/>
    <x v="0"/>
  </r>
  <r>
    <s v="ORD1731"/>
    <x v="7"/>
    <x v="4"/>
    <n v="2"/>
    <n v="5890.41"/>
    <x v="8"/>
    <d v="2026-04-26T00:00:00"/>
    <n v="11780.82"/>
    <x v="5"/>
  </r>
  <r>
    <s v="ORD1732"/>
    <x v="12"/>
    <x v="4"/>
    <n v="5"/>
    <n v="3989.88"/>
    <x v="3"/>
    <d v="2026-01-27T00:00:00"/>
    <n v="19949.400000000001"/>
    <x v="1"/>
  </r>
  <r>
    <s v="ORD1733"/>
    <x v="10"/>
    <x v="3"/>
    <n v="2"/>
    <n v="1847.66"/>
    <x v="7"/>
    <d v="2026-02-26T00:00:00"/>
    <n v="3695.32"/>
    <x v="2"/>
  </r>
  <r>
    <s v="ORD1734"/>
    <x v="11"/>
    <x v="1"/>
    <n v="2"/>
    <n v="2342.42"/>
    <x v="6"/>
    <d v="2026-06-25T00:00:00"/>
    <n v="4684.84"/>
    <x v="4"/>
  </r>
  <r>
    <s v="ORD1735"/>
    <x v="0"/>
    <x v="0"/>
    <n v="1"/>
    <n v="1829.64"/>
    <x v="0"/>
    <d v="2026-01-20T00:00:00"/>
    <n v="1829.64"/>
    <x v="1"/>
  </r>
  <r>
    <s v="ORD1736"/>
    <x v="13"/>
    <x v="1"/>
    <n v="1"/>
    <n v="51675.25"/>
    <x v="3"/>
    <d v="2026-02-02T00:00:00"/>
    <n v="51675.25"/>
    <x v="2"/>
  </r>
  <r>
    <s v="ORD1737"/>
    <x v="6"/>
    <x v="1"/>
    <n v="3"/>
    <n v="16641.099999999999"/>
    <x v="3"/>
    <d v="2026-01-13T00:00:00"/>
    <n v="49923.299999999996"/>
    <x v="1"/>
  </r>
  <r>
    <s v="ORD1738"/>
    <x v="11"/>
    <x v="1"/>
    <n v="5"/>
    <n v="2170.59"/>
    <x v="8"/>
    <d v="2026-05-08T00:00:00"/>
    <n v="10852.95"/>
    <x v="3"/>
  </r>
  <r>
    <s v="ORD1739"/>
    <x v="13"/>
    <x v="1"/>
    <n v="4"/>
    <n v="57015.34"/>
    <x v="4"/>
    <d v="2026-04-01T00:00:00"/>
    <n v="228061.36"/>
    <x v="5"/>
  </r>
  <r>
    <s v="ORD1740"/>
    <x v="1"/>
    <x v="1"/>
    <n v="2"/>
    <n v="1432.49"/>
    <x v="3"/>
    <d v="2026-02-08T00:00:00"/>
    <n v="2864.98"/>
    <x v="2"/>
  </r>
  <r>
    <s v="ORD1741"/>
    <x v="13"/>
    <x v="1"/>
    <n v="5"/>
    <n v="56310.94"/>
    <x v="5"/>
    <d v="2026-06-15T00:00:00"/>
    <n v="281554.7"/>
    <x v="4"/>
  </r>
  <r>
    <s v="ORD1742"/>
    <x v="4"/>
    <x v="3"/>
    <n v="4"/>
    <n v="784.94"/>
    <x v="1"/>
    <d v="2026-05-03T00:00:00"/>
    <n v="3139.76"/>
    <x v="3"/>
  </r>
  <r>
    <s v="ORD1743"/>
    <x v="13"/>
    <x v="1"/>
    <n v="1"/>
    <n v="52577.54"/>
    <x v="4"/>
    <d v="2026-04-18T00:00:00"/>
    <n v="52577.54"/>
    <x v="5"/>
  </r>
  <r>
    <s v="ORD1744"/>
    <x v="1"/>
    <x v="1"/>
    <n v="5"/>
    <n v="1424.74"/>
    <x v="1"/>
    <d v="2026-01-05T00:00:00"/>
    <n v="7123.7"/>
    <x v="1"/>
  </r>
  <r>
    <s v="ORD1745"/>
    <x v="5"/>
    <x v="0"/>
    <n v="3"/>
    <n v="4978.6899999999996"/>
    <x v="3"/>
    <d v="2026-03-30T00:00:00"/>
    <n v="14936.07"/>
    <x v="0"/>
  </r>
  <r>
    <s v="ORD1746"/>
    <x v="2"/>
    <x v="2"/>
    <n v="5"/>
    <n v="433.94"/>
    <x v="0"/>
    <d v="2026-02-16T00:00:00"/>
    <n v="2169.6999999999998"/>
    <x v="2"/>
  </r>
  <r>
    <s v="ORD1747"/>
    <x v="13"/>
    <x v="1"/>
    <n v="3"/>
    <n v="56068.28"/>
    <x v="7"/>
    <d v="2026-03-13T00:00:00"/>
    <n v="168204.84"/>
    <x v="0"/>
  </r>
  <r>
    <s v="ORD1748"/>
    <x v="13"/>
    <x v="1"/>
    <n v="4"/>
    <n v="55323.76"/>
    <x v="9"/>
    <d v="2026-03-01T00:00:00"/>
    <n v="221295.04"/>
    <x v="0"/>
  </r>
  <r>
    <s v="ORD1749"/>
    <x v="11"/>
    <x v="1"/>
    <n v="1"/>
    <n v="2089.06"/>
    <x v="5"/>
    <d v="2026-03-10T00:00:00"/>
    <n v="2089.06"/>
    <x v="0"/>
  </r>
  <r>
    <s v="ORD1750"/>
    <x v="12"/>
    <x v="4"/>
    <n v="1"/>
    <n v="4421.8"/>
    <x v="5"/>
    <d v="2026-05-28T00:00:00"/>
    <n v="4421.8"/>
    <x v="3"/>
  </r>
  <r>
    <s v="ORD1751"/>
    <x v="7"/>
    <x v="4"/>
    <n v="4"/>
    <n v="6311.25"/>
    <x v="4"/>
    <d v="2026-02-15T00:00:00"/>
    <n v="25245"/>
    <x v="2"/>
  </r>
  <r>
    <s v="ORD1752"/>
    <x v="1"/>
    <x v="1"/>
    <n v="5"/>
    <n v="1445.4"/>
    <x v="6"/>
    <d v="2026-06-01T00:00:00"/>
    <n v="7227"/>
    <x v="4"/>
  </r>
  <r>
    <s v="ORD1753"/>
    <x v="13"/>
    <x v="1"/>
    <n v="3"/>
    <n v="59923.15"/>
    <x v="9"/>
    <d v="2026-02-06T00:00:00"/>
    <n v="179769.45"/>
    <x v="2"/>
  </r>
  <r>
    <s v="ORD1754"/>
    <x v="2"/>
    <x v="2"/>
    <n v="2"/>
    <n v="480.3"/>
    <x v="3"/>
    <d v="2026-05-19T00:00:00"/>
    <n v="960.6"/>
    <x v="3"/>
  </r>
  <r>
    <s v="ORD1755"/>
    <x v="4"/>
    <x v="3"/>
    <n v="2"/>
    <n v="797.47"/>
    <x v="2"/>
    <d v="2026-01-15T00:00:00"/>
    <n v="1594.94"/>
    <x v="1"/>
  </r>
  <r>
    <s v="ORD1756"/>
    <x v="1"/>
    <x v="1"/>
    <n v="5"/>
    <n v="1415.64"/>
    <x v="1"/>
    <d v="2026-05-03T00:00:00"/>
    <n v="7078.2000000000007"/>
    <x v="3"/>
  </r>
  <r>
    <s v="ORD1757"/>
    <x v="13"/>
    <x v="1"/>
    <n v="3"/>
    <n v="59596.86"/>
    <x v="5"/>
    <d v="2026-02-03T00:00:00"/>
    <n v="178790.58000000002"/>
    <x v="2"/>
  </r>
  <r>
    <s v="ORD1758"/>
    <x v="9"/>
    <x v="3"/>
    <n v="2"/>
    <n v="2708.31"/>
    <x v="6"/>
    <d v="2026-01-16T00:00:00"/>
    <n v="5416.62"/>
    <x v="1"/>
  </r>
  <r>
    <s v="ORD1759"/>
    <x v="13"/>
    <x v="1"/>
    <n v="2"/>
    <n v="55952.7"/>
    <x v="4"/>
    <d v="2026-01-29T00:00:00"/>
    <n v="111905.4"/>
    <x v="1"/>
  </r>
  <r>
    <s v="ORD1760"/>
    <x v="7"/>
    <x v="4"/>
    <n v="5"/>
    <n v="6968.87"/>
    <x v="2"/>
    <d v="2026-04-06T00:00:00"/>
    <n v="34844.35"/>
    <x v="5"/>
  </r>
  <r>
    <s v="ORD1761"/>
    <x v="3"/>
    <x v="1"/>
    <n v="4"/>
    <n v="28481.69"/>
    <x v="6"/>
    <d v="2026-03-19T00:00:00"/>
    <n v="113926.76"/>
    <x v="0"/>
  </r>
  <r>
    <s v="ORD1762"/>
    <x v="9"/>
    <x v="3"/>
    <n v="2"/>
    <n v="2736.84"/>
    <x v="8"/>
    <d v="2026-06-13T00:00:00"/>
    <n v="5473.68"/>
    <x v="4"/>
  </r>
  <r>
    <s v="ORD1763"/>
    <x v="8"/>
    <x v="4"/>
    <n v="3"/>
    <n v="3271.94"/>
    <x v="1"/>
    <d v="2026-06-27T00:00:00"/>
    <n v="9815.82"/>
    <x v="4"/>
  </r>
  <r>
    <s v="ORD1764"/>
    <x v="2"/>
    <x v="2"/>
    <n v="3"/>
    <n v="425.09"/>
    <x v="9"/>
    <d v="2026-02-14T00:00:00"/>
    <n v="1275.27"/>
    <x v="2"/>
  </r>
  <r>
    <s v="ORD1765"/>
    <x v="5"/>
    <x v="0"/>
    <n v="3"/>
    <n v="5232.95"/>
    <x v="0"/>
    <d v="2026-02-02T00:00:00"/>
    <n v="15698.849999999999"/>
    <x v="2"/>
  </r>
  <r>
    <s v="ORD1766"/>
    <x v="11"/>
    <x v="1"/>
    <n v="1"/>
    <n v="2397.4699999999998"/>
    <x v="9"/>
    <d v="2026-04-11T00:00:00"/>
    <n v="2397.4699999999998"/>
    <x v="5"/>
  </r>
  <r>
    <s v="ORD1767"/>
    <x v="7"/>
    <x v="4"/>
    <n v="5"/>
    <n v="5892.1"/>
    <x v="9"/>
    <d v="2026-03-23T00:00:00"/>
    <n v="29460.5"/>
    <x v="0"/>
  </r>
  <r>
    <s v="ORD1768"/>
    <x v="10"/>
    <x v="3"/>
    <n v="5"/>
    <n v="1887.41"/>
    <x v="9"/>
    <d v="2026-01-27T00:00:00"/>
    <n v="9437.0500000000011"/>
    <x v="1"/>
  </r>
  <r>
    <s v="ORD1769"/>
    <x v="8"/>
    <x v="4"/>
    <n v="2"/>
    <n v="3381.82"/>
    <x v="2"/>
    <d v="2026-03-02T00:00:00"/>
    <n v="6763.64"/>
    <x v="0"/>
  </r>
  <r>
    <s v="ORD1770"/>
    <x v="9"/>
    <x v="3"/>
    <n v="3"/>
    <n v="2333.0100000000002"/>
    <x v="2"/>
    <d v="2026-06-21T00:00:00"/>
    <n v="6999.0300000000007"/>
    <x v="4"/>
  </r>
  <r>
    <s v="ORD1771"/>
    <x v="0"/>
    <x v="0"/>
    <n v="3"/>
    <n v="1780.79"/>
    <x v="0"/>
    <d v="2026-02-23T00:00:00"/>
    <n v="5342.37"/>
    <x v="2"/>
  </r>
  <r>
    <s v="ORD1772"/>
    <x v="1"/>
    <x v="1"/>
    <n v="1"/>
    <n v="1455.14"/>
    <x v="2"/>
    <d v="2026-01-01T00:00:00"/>
    <n v="1455.14"/>
    <x v="1"/>
  </r>
  <r>
    <s v="ORD1773"/>
    <x v="13"/>
    <x v="1"/>
    <n v="4"/>
    <n v="54320.42"/>
    <x v="8"/>
    <d v="2026-02-12T00:00:00"/>
    <n v="217281.68"/>
    <x v="2"/>
  </r>
  <r>
    <s v="ORD1774"/>
    <x v="5"/>
    <x v="0"/>
    <n v="4"/>
    <n v="5380.69"/>
    <x v="6"/>
    <d v="2026-05-20T00:00:00"/>
    <n v="21522.76"/>
    <x v="3"/>
  </r>
  <r>
    <s v="ORD1775"/>
    <x v="5"/>
    <x v="0"/>
    <n v="1"/>
    <n v="5327.74"/>
    <x v="9"/>
    <d v="2026-06-16T00:00:00"/>
    <n v="5327.74"/>
    <x v="4"/>
  </r>
  <r>
    <s v="ORD1776"/>
    <x v="10"/>
    <x v="3"/>
    <n v="2"/>
    <n v="1864.13"/>
    <x v="2"/>
    <d v="2026-01-09T00:00:00"/>
    <n v="3728.26"/>
    <x v="1"/>
  </r>
  <r>
    <s v="ORD1777"/>
    <x v="4"/>
    <x v="3"/>
    <n v="1"/>
    <n v="770.03"/>
    <x v="2"/>
    <d v="2026-01-19T00:00:00"/>
    <n v="770.03"/>
    <x v="1"/>
  </r>
  <r>
    <s v="ORD1778"/>
    <x v="9"/>
    <x v="3"/>
    <n v="2"/>
    <n v="2692.89"/>
    <x v="4"/>
    <d v="2026-01-20T00:00:00"/>
    <n v="5385.78"/>
    <x v="1"/>
  </r>
  <r>
    <s v="ORD1779"/>
    <x v="12"/>
    <x v="4"/>
    <n v="1"/>
    <n v="4063.88"/>
    <x v="9"/>
    <d v="2026-05-04T00:00:00"/>
    <n v="4063.88"/>
    <x v="3"/>
  </r>
  <r>
    <s v="ORD1780"/>
    <x v="3"/>
    <x v="1"/>
    <n v="1"/>
    <n v="27615.41"/>
    <x v="4"/>
    <d v="2026-06-05T00:00:00"/>
    <n v="27615.41"/>
    <x v="4"/>
  </r>
  <r>
    <s v="ORD1781"/>
    <x v="5"/>
    <x v="0"/>
    <n v="2"/>
    <n v="4552.6499999999996"/>
    <x v="6"/>
    <d v="2026-02-22T00:00:00"/>
    <n v="9105.2999999999993"/>
    <x v="2"/>
  </r>
  <r>
    <s v="ORD1782"/>
    <x v="1"/>
    <x v="1"/>
    <n v="4"/>
    <n v="1559.16"/>
    <x v="1"/>
    <d v="2026-03-09T00:00:00"/>
    <n v="6236.64"/>
    <x v="0"/>
  </r>
  <r>
    <s v="ORD1783"/>
    <x v="0"/>
    <x v="0"/>
    <n v="3"/>
    <n v="1727.06"/>
    <x v="2"/>
    <d v="2026-01-13T00:00:00"/>
    <n v="5181.18"/>
    <x v="1"/>
  </r>
  <r>
    <s v="ORD1784"/>
    <x v="5"/>
    <x v="0"/>
    <n v="5"/>
    <n v="5048.6499999999996"/>
    <x v="3"/>
    <d v="2026-02-09T00:00:00"/>
    <n v="25243.25"/>
    <x v="2"/>
  </r>
  <r>
    <s v="ORD1785"/>
    <x v="13"/>
    <x v="1"/>
    <n v="3"/>
    <n v="49541.97"/>
    <x v="2"/>
    <d v="2026-03-17T00:00:00"/>
    <n v="148625.91"/>
    <x v="0"/>
  </r>
  <r>
    <s v="ORD1786"/>
    <x v="7"/>
    <x v="4"/>
    <n v="5"/>
    <n v="6474.43"/>
    <x v="2"/>
    <d v="2026-01-07T00:00:00"/>
    <n v="32372.15"/>
    <x v="1"/>
  </r>
  <r>
    <s v="ORD1787"/>
    <x v="1"/>
    <x v="1"/>
    <n v="2"/>
    <n v="1541.46"/>
    <x v="2"/>
    <d v="2026-05-02T00:00:00"/>
    <n v="3082.92"/>
    <x v="3"/>
  </r>
  <r>
    <s v="ORD1788"/>
    <x v="7"/>
    <x v="4"/>
    <n v="1"/>
    <n v="6250.86"/>
    <x v="8"/>
    <d v="2026-05-01T00:00:00"/>
    <n v="6250.86"/>
    <x v="3"/>
  </r>
  <r>
    <s v="ORD1789"/>
    <x v="8"/>
    <x v="4"/>
    <n v="3"/>
    <n v="3213.8"/>
    <x v="1"/>
    <d v="2026-04-10T00:00:00"/>
    <n v="9641.4000000000015"/>
    <x v="5"/>
  </r>
  <r>
    <s v="ORD1790"/>
    <x v="11"/>
    <x v="1"/>
    <n v="3"/>
    <n v="2369.62"/>
    <x v="6"/>
    <d v="2026-02-17T00:00:00"/>
    <n v="7108.86"/>
    <x v="2"/>
  </r>
  <r>
    <s v="ORD1791"/>
    <x v="8"/>
    <x v="4"/>
    <n v="1"/>
    <n v="3334.31"/>
    <x v="3"/>
    <d v="2026-03-09T00:00:00"/>
    <n v="3334.31"/>
    <x v="0"/>
  </r>
  <r>
    <s v="ORD1792"/>
    <x v="1"/>
    <x v="1"/>
    <n v="3"/>
    <n v="1519.27"/>
    <x v="4"/>
    <d v="2026-06-28T00:00:00"/>
    <n v="4557.8099999999995"/>
    <x v="4"/>
  </r>
  <r>
    <s v="ORD1793"/>
    <x v="0"/>
    <x v="0"/>
    <n v="1"/>
    <n v="1650.85"/>
    <x v="6"/>
    <d v="2026-05-19T00:00:00"/>
    <n v="1650.85"/>
    <x v="3"/>
  </r>
  <r>
    <s v="ORD1794"/>
    <x v="5"/>
    <x v="0"/>
    <n v="5"/>
    <n v="4726.57"/>
    <x v="7"/>
    <d v="2026-04-10T00:00:00"/>
    <n v="23632.85"/>
    <x v="5"/>
  </r>
  <r>
    <s v="ORD1795"/>
    <x v="7"/>
    <x v="4"/>
    <n v="5"/>
    <n v="6394.22"/>
    <x v="1"/>
    <d v="2026-06-25T00:00:00"/>
    <n v="31971.100000000002"/>
    <x v="4"/>
  </r>
  <r>
    <s v="ORD1796"/>
    <x v="7"/>
    <x v="4"/>
    <n v="4"/>
    <n v="6594.53"/>
    <x v="5"/>
    <d v="2026-05-02T00:00:00"/>
    <n v="26378.12"/>
    <x v="3"/>
  </r>
  <r>
    <s v="ORD1797"/>
    <x v="4"/>
    <x v="3"/>
    <n v="1"/>
    <n v="782.19"/>
    <x v="7"/>
    <d v="2026-05-09T00:00:00"/>
    <n v="782.19"/>
    <x v="3"/>
  </r>
  <r>
    <s v="ORD1798"/>
    <x v="2"/>
    <x v="2"/>
    <n v="5"/>
    <n v="477.04"/>
    <x v="9"/>
    <d v="2026-02-07T00:00:00"/>
    <n v="2385.2000000000003"/>
    <x v="2"/>
  </r>
  <r>
    <s v="ORD1799"/>
    <x v="6"/>
    <x v="1"/>
    <n v="4"/>
    <n v="16822.36"/>
    <x v="4"/>
    <d v="2026-02-24T00:00:00"/>
    <n v="67289.440000000002"/>
    <x v="2"/>
  </r>
  <r>
    <s v="ORD1800"/>
    <x v="10"/>
    <x v="3"/>
    <n v="2"/>
    <n v="1849.55"/>
    <x v="8"/>
    <d v="2026-01-21T00:00:00"/>
    <n v="3699.1"/>
    <x v="1"/>
  </r>
  <r>
    <s v="ORD1801"/>
    <x v="0"/>
    <x v="0"/>
    <n v="4"/>
    <n v="1692.69"/>
    <x v="4"/>
    <d v="2026-06-02T00:00:00"/>
    <n v="6770.76"/>
    <x v="4"/>
  </r>
  <r>
    <s v="ORD1802"/>
    <x v="4"/>
    <x v="3"/>
    <n v="3"/>
    <n v="864.65"/>
    <x v="2"/>
    <d v="2026-01-23T00:00:00"/>
    <n v="2593.9499999999998"/>
    <x v="1"/>
  </r>
  <r>
    <s v="ORD1803"/>
    <x v="5"/>
    <x v="0"/>
    <n v="5"/>
    <n v="4896.38"/>
    <x v="6"/>
    <d v="2026-03-12T00:00:00"/>
    <n v="24481.9"/>
    <x v="0"/>
  </r>
  <r>
    <s v="ORD1804"/>
    <x v="12"/>
    <x v="4"/>
    <n v="4"/>
    <n v="4550.42"/>
    <x v="7"/>
    <d v="2026-06-29T00:00:00"/>
    <n v="18201.68"/>
    <x v="4"/>
  </r>
  <r>
    <s v="ORD1805"/>
    <x v="2"/>
    <x v="2"/>
    <n v="5"/>
    <n v="452.03"/>
    <x v="8"/>
    <d v="2026-01-29T00:00:00"/>
    <n v="2260.1499999999996"/>
    <x v="1"/>
  </r>
  <r>
    <s v="ORD1806"/>
    <x v="5"/>
    <x v="0"/>
    <n v="2"/>
    <n v="4647.2700000000004"/>
    <x v="9"/>
    <d v="2026-05-30T00:00:00"/>
    <n v="9294.5400000000009"/>
    <x v="3"/>
  </r>
  <r>
    <s v="ORD1807"/>
    <x v="10"/>
    <x v="3"/>
    <n v="1"/>
    <n v="2168.89"/>
    <x v="9"/>
    <d v="2026-01-26T00:00:00"/>
    <n v="2168.89"/>
    <x v="1"/>
  </r>
  <r>
    <s v="ORD1808"/>
    <x v="10"/>
    <x v="3"/>
    <n v="3"/>
    <n v="2145.92"/>
    <x v="6"/>
    <d v="2026-04-16T00:00:00"/>
    <n v="6437.76"/>
    <x v="5"/>
  </r>
  <r>
    <s v="ORD1809"/>
    <x v="4"/>
    <x v="3"/>
    <n v="4"/>
    <n v="823.74"/>
    <x v="9"/>
    <d v="2026-06-05T00:00:00"/>
    <n v="3294.96"/>
    <x v="4"/>
  </r>
  <r>
    <s v="ORD1810"/>
    <x v="8"/>
    <x v="4"/>
    <n v="1"/>
    <n v="3270.54"/>
    <x v="8"/>
    <d v="2026-02-06T00:00:00"/>
    <n v="3270.54"/>
    <x v="2"/>
  </r>
  <r>
    <s v="ORD1811"/>
    <x v="2"/>
    <x v="2"/>
    <n v="5"/>
    <n v="466.27"/>
    <x v="8"/>
    <d v="2026-01-10T00:00:00"/>
    <n v="2331.35"/>
    <x v="1"/>
  </r>
  <r>
    <s v="ORD1812"/>
    <x v="5"/>
    <x v="0"/>
    <n v="3"/>
    <n v="5189.4799999999996"/>
    <x v="7"/>
    <d v="2026-05-02T00:00:00"/>
    <n v="15568.439999999999"/>
    <x v="3"/>
  </r>
  <r>
    <s v="ORD1813"/>
    <x v="4"/>
    <x v="3"/>
    <n v="3"/>
    <n v="722.33"/>
    <x v="0"/>
    <d v="2026-03-21T00:00:00"/>
    <n v="2166.9900000000002"/>
    <x v="0"/>
  </r>
  <r>
    <s v="ORD1814"/>
    <x v="4"/>
    <x v="3"/>
    <n v="4"/>
    <n v="856.25"/>
    <x v="2"/>
    <d v="2026-02-28T00:00:00"/>
    <n v="3425"/>
    <x v="2"/>
  </r>
  <r>
    <s v="ORD1815"/>
    <x v="11"/>
    <x v="1"/>
    <n v="3"/>
    <n v="2408.66"/>
    <x v="3"/>
    <d v="2026-03-24T00:00:00"/>
    <n v="7225.98"/>
    <x v="0"/>
  </r>
  <r>
    <s v="ORD1816"/>
    <x v="4"/>
    <x v="3"/>
    <n v="4"/>
    <n v="815.78"/>
    <x v="2"/>
    <d v="2026-02-18T00:00:00"/>
    <n v="3263.12"/>
    <x v="2"/>
  </r>
  <r>
    <s v="ORD1817"/>
    <x v="8"/>
    <x v="4"/>
    <n v="2"/>
    <n v="3789.4"/>
    <x v="8"/>
    <d v="2026-05-05T00:00:00"/>
    <n v="7578.8"/>
    <x v="3"/>
  </r>
  <r>
    <s v="ORD1818"/>
    <x v="10"/>
    <x v="3"/>
    <n v="5"/>
    <n v="2145.8000000000002"/>
    <x v="7"/>
    <d v="2026-05-12T00:00:00"/>
    <n v="10729"/>
    <x v="3"/>
  </r>
  <r>
    <s v="ORD1819"/>
    <x v="10"/>
    <x v="3"/>
    <n v="2"/>
    <n v="1825.33"/>
    <x v="1"/>
    <d v="2026-04-14T00:00:00"/>
    <n v="3650.66"/>
    <x v="5"/>
  </r>
  <r>
    <s v="ORD1820"/>
    <x v="11"/>
    <x v="1"/>
    <n v="5"/>
    <n v="2366.91"/>
    <x v="7"/>
    <d v="2026-02-14T00:00:00"/>
    <n v="11834.55"/>
    <x v="2"/>
  </r>
  <r>
    <s v="ORD1821"/>
    <x v="1"/>
    <x v="1"/>
    <n v="2"/>
    <n v="1601.09"/>
    <x v="5"/>
    <d v="2026-01-09T00:00:00"/>
    <n v="3202.18"/>
    <x v="1"/>
  </r>
  <r>
    <s v="ORD1822"/>
    <x v="8"/>
    <x v="4"/>
    <n v="1"/>
    <n v="3792.62"/>
    <x v="5"/>
    <d v="2026-03-12T00:00:00"/>
    <n v="3792.62"/>
    <x v="0"/>
  </r>
  <r>
    <s v="ORD1823"/>
    <x v="9"/>
    <x v="3"/>
    <n v="4"/>
    <n v="2501.56"/>
    <x v="2"/>
    <d v="2026-06-24T00:00:00"/>
    <n v="10006.24"/>
    <x v="4"/>
  </r>
  <r>
    <s v="ORD1824"/>
    <x v="13"/>
    <x v="1"/>
    <n v="2"/>
    <n v="53597.13"/>
    <x v="9"/>
    <d v="2026-04-25T00:00:00"/>
    <n v="107194.26"/>
    <x v="5"/>
  </r>
  <r>
    <s v="ORD1825"/>
    <x v="11"/>
    <x v="1"/>
    <n v="4"/>
    <n v="2238.23"/>
    <x v="6"/>
    <d v="2026-03-30T00:00:00"/>
    <n v="8952.92"/>
    <x v="0"/>
  </r>
  <r>
    <s v="ORD1826"/>
    <x v="11"/>
    <x v="1"/>
    <n v="3"/>
    <n v="2309.54"/>
    <x v="2"/>
    <d v="2026-03-14T00:00:00"/>
    <n v="6928.62"/>
    <x v="0"/>
  </r>
  <r>
    <s v="ORD1827"/>
    <x v="13"/>
    <x v="1"/>
    <n v="4"/>
    <n v="50046.16"/>
    <x v="9"/>
    <d v="2026-02-24T00:00:00"/>
    <n v="200184.64"/>
    <x v="2"/>
  </r>
  <r>
    <s v="ORD1828"/>
    <x v="7"/>
    <x v="4"/>
    <n v="2"/>
    <n v="6691.59"/>
    <x v="5"/>
    <d v="2026-03-10T00:00:00"/>
    <n v="13383.18"/>
    <x v="0"/>
  </r>
  <r>
    <s v="ORD1829"/>
    <x v="0"/>
    <x v="0"/>
    <n v="4"/>
    <n v="1804.78"/>
    <x v="7"/>
    <d v="2026-05-02T00:00:00"/>
    <n v="7219.12"/>
    <x v="3"/>
  </r>
  <r>
    <s v="ORD1830"/>
    <x v="11"/>
    <x v="1"/>
    <n v="2"/>
    <n v="2244.5"/>
    <x v="7"/>
    <d v="2026-02-27T00:00:00"/>
    <n v="4489"/>
    <x v="2"/>
  </r>
  <r>
    <s v="ORD1831"/>
    <x v="4"/>
    <x v="3"/>
    <n v="5"/>
    <n v="847.75"/>
    <x v="0"/>
    <d v="2026-06-14T00:00:00"/>
    <n v="4238.75"/>
    <x v="4"/>
  </r>
  <r>
    <s v="ORD1832"/>
    <x v="4"/>
    <x v="3"/>
    <n v="4"/>
    <n v="862.2"/>
    <x v="6"/>
    <d v="2026-04-28T00:00:00"/>
    <n v="3448.8"/>
    <x v="5"/>
  </r>
  <r>
    <s v="ORD1833"/>
    <x v="4"/>
    <x v="3"/>
    <n v="2"/>
    <n v="793.68"/>
    <x v="1"/>
    <d v="2026-06-09T00:00:00"/>
    <n v="1587.36"/>
    <x v="4"/>
  </r>
  <r>
    <s v="ORD1834"/>
    <x v="5"/>
    <x v="0"/>
    <n v="5"/>
    <n v="4601.3900000000003"/>
    <x v="1"/>
    <d v="2026-06-19T00:00:00"/>
    <n v="23006.95"/>
    <x v="4"/>
  </r>
  <r>
    <s v="ORD1835"/>
    <x v="7"/>
    <x v="4"/>
    <n v="3"/>
    <n v="6579.89"/>
    <x v="9"/>
    <d v="2026-06-05T00:00:00"/>
    <n v="19739.670000000002"/>
    <x v="4"/>
  </r>
  <r>
    <s v="ORD1836"/>
    <x v="4"/>
    <x v="3"/>
    <n v="3"/>
    <n v="828.47"/>
    <x v="3"/>
    <d v="2026-01-17T00:00:00"/>
    <n v="2485.41"/>
    <x v="1"/>
  </r>
  <r>
    <s v="ORD1837"/>
    <x v="9"/>
    <x v="3"/>
    <n v="3"/>
    <n v="2569.27"/>
    <x v="0"/>
    <d v="2026-03-08T00:00:00"/>
    <n v="7707.8099999999995"/>
    <x v="0"/>
  </r>
  <r>
    <s v="ORD1838"/>
    <x v="0"/>
    <x v="0"/>
    <n v="3"/>
    <n v="1687.81"/>
    <x v="1"/>
    <d v="2026-03-03T00:00:00"/>
    <n v="5063.43"/>
    <x v="0"/>
  </r>
  <r>
    <s v="ORD1839"/>
    <x v="13"/>
    <x v="1"/>
    <n v="5"/>
    <n v="53945.08"/>
    <x v="6"/>
    <d v="2026-06-24T00:00:00"/>
    <n v="269725.40000000002"/>
    <x v="4"/>
  </r>
  <r>
    <s v="ORD1840"/>
    <x v="11"/>
    <x v="1"/>
    <n v="1"/>
    <n v="2268.38"/>
    <x v="0"/>
    <d v="2026-03-08T00:00:00"/>
    <n v="2268.38"/>
    <x v="0"/>
  </r>
  <r>
    <s v="ORD1841"/>
    <x v="5"/>
    <x v="0"/>
    <n v="4"/>
    <n v="4887.3"/>
    <x v="7"/>
    <d v="2026-05-30T00:00:00"/>
    <n v="19549.2"/>
    <x v="3"/>
  </r>
  <r>
    <s v="ORD1842"/>
    <x v="3"/>
    <x v="1"/>
    <n v="5"/>
    <n v="29769.68"/>
    <x v="6"/>
    <d v="2026-02-26T00:00:00"/>
    <n v="148848.4"/>
    <x v="2"/>
  </r>
  <r>
    <s v="ORD1843"/>
    <x v="0"/>
    <x v="0"/>
    <n v="5"/>
    <n v="1849.79"/>
    <x v="3"/>
    <d v="2026-06-21T00:00:00"/>
    <n v="9248.9500000000007"/>
    <x v="4"/>
  </r>
  <r>
    <s v="ORD1844"/>
    <x v="9"/>
    <x v="3"/>
    <n v="5"/>
    <n v="2399.14"/>
    <x v="4"/>
    <d v="2026-06-18T00:00:00"/>
    <n v="11995.699999999999"/>
    <x v="4"/>
  </r>
  <r>
    <s v="ORD1845"/>
    <x v="12"/>
    <x v="4"/>
    <n v="2"/>
    <n v="4026.78"/>
    <x v="3"/>
    <d v="2026-02-02T00:00:00"/>
    <n v="8053.56"/>
    <x v="2"/>
  </r>
  <r>
    <s v="ORD1846"/>
    <x v="3"/>
    <x v="1"/>
    <n v="3"/>
    <n v="29261.05"/>
    <x v="1"/>
    <d v="2026-02-16T00:00:00"/>
    <n v="87783.15"/>
    <x v="2"/>
  </r>
  <r>
    <s v="ORD1847"/>
    <x v="0"/>
    <x v="0"/>
    <n v="3"/>
    <n v="1855.6"/>
    <x v="5"/>
    <d v="2026-04-01T00:00:00"/>
    <n v="5566.7999999999993"/>
    <x v="5"/>
  </r>
  <r>
    <s v="ORD1848"/>
    <x v="1"/>
    <x v="1"/>
    <n v="3"/>
    <n v="1476.14"/>
    <x v="6"/>
    <d v="2026-04-06T00:00:00"/>
    <n v="4428.42"/>
    <x v="5"/>
  </r>
  <r>
    <s v="ORD1849"/>
    <x v="4"/>
    <x v="3"/>
    <n v="5"/>
    <n v="766.09"/>
    <x v="2"/>
    <d v="2026-05-01T00:00:00"/>
    <n v="3830.4500000000003"/>
    <x v="3"/>
  </r>
  <r>
    <s v="ORD1850"/>
    <x v="13"/>
    <x v="1"/>
    <n v="5"/>
    <n v="55883.44"/>
    <x v="9"/>
    <d v="2026-01-19T00:00:00"/>
    <n v="279417.2"/>
    <x v="1"/>
  </r>
  <r>
    <s v="ORD1851"/>
    <x v="8"/>
    <x v="4"/>
    <n v="2"/>
    <n v="3500.33"/>
    <x v="8"/>
    <d v="2026-05-16T00:00:00"/>
    <n v="7000.66"/>
    <x v="3"/>
  </r>
  <r>
    <s v="ORD1852"/>
    <x v="4"/>
    <x v="3"/>
    <n v="4"/>
    <n v="727.74"/>
    <x v="4"/>
    <d v="2026-02-05T00:00:00"/>
    <n v="2910.96"/>
    <x v="2"/>
  </r>
  <r>
    <s v="ORD1853"/>
    <x v="1"/>
    <x v="1"/>
    <n v="3"/>
    <n v="1472.76"/>
    <x v="9"/>
    <d v="2026-04-28T00:00:00"/>
    <n v="4418.28"/>
    <x v="5"/>
  </r>
  <r>
    <s v="ORD1854"/>
    <x v="11"/>
    <x v="1"/>
    <n v="3"/>
    <n v="2359.4499999999998"/>
    <x v="4"/>
    <d v="2026-01-21T00:00:00"/>
    <n v="7078.3499999999995"/>
    <x v="1"/>
  </r>
  <r>
    <s v="ORD1855"/>
    <x v="8"/>
    <x v="4"/>
    <n v="3"/>
    <n v="3591.72"/>
    <x v="4"/>
    <d v="2026-03-22T00:00:00"/>
    <n v="10775.16"/>
    <x v="0"/>
  </r>
  <r>
    <s v="ORD1856"/>
    <x v="0"/>
    <x v="0"/>
    <n v="1"/>
    <n v="1621.7"/>
    <x v="0"/>
    <d v="2026-02-23T00:00:00"/>
    <n v="1621.7"/>
    <x v="2"/>
  </r>
  <r>
    <s v="ORD1857"/>
    <x v="10"/>
    <x v="3"/>
    <n v="2"/>
    <n v="2029.5"/>
    <x v="4"/>
    <d v="2026-05-06T00:00:00"/>
    <n v="4059"/>
    <x v="3"/>
  </r>
  <r>
    <s v="ORD1858"/>
    <x v="10"/>
    <x v="3"/>
    <n v="1"/>
    <n v="1850.84"/>
    <x v="8"/>
    <d v="2026-06-12T00:00:00"/>
    <n v="1850.84"/>
    <x v="4"/>
  </r>
  <r>
    <s v="ORD1859"/>
    <x v="5"/>
    <x v="0"/>
    <n v="4"/>
    <n v="4928.04"/>
    <x v="3"/>
    <d v="2026-04-09T00:00:00"/>
    <n v="19712.16"/>
    <x v="5"/>
  </r>
  <r>
    <s v="ORD1860"/>
    <x v="13"/>
    <x v="1"/>
    <n v="1"/>
    <n v="55371.61"/>
    <x v="6"/>
    <d v="2026-01-04T00:00:00"/>
    <n v="55371.61"/>
    <x v="1"/>
  </r>
  <r>
    <s v="ORD1861"/>
    <x v="9"/>
    <x v="3"/>
    <n v="5"/>
    <n v="2344.35"/>
    <x v="7"/>
    <d v="2026-06-10T00:00:00"/>
    <n v="11721.75"/>
    <x v="4"/>
  </r>
  <r>
    <s v="ORD1862"/>
    <x v="3"/>
    <x v="1"/>
    <n v="2"/>
    <n v="26467.09"/>
    <x v="6"/>
    <d v="2026-03-21T00:00:00"/>
    <n v="52934.18"/>
    <x v="0"/>
  </r>
  <r>
    <s v="ORD1863"/>
    <x v="11"/>
    <x v="1"/>
    <n v="1"/>
    <n v="2148.7600000000002"/>
    <x v="9"/>
    <d v="2026-03-20T00:00:00"/>
    <n v="2148.7600000000002"/>
    <x v="0"/>
  </r>
  <r>
    <s v="ORD1864"/>
    <x v="11"/>
    <x v="1"/>
    <n v="1"/>
    <n v="2342.4899999999998"/>
    <x v="0"/>
    <d v="2026-03-16T00:00:00"/>
    <n v="2342.4899999999998"/>
    <x v="0"/>
  </r>
  <r>
    <s v="ORD1865"/>
    <x v="8"/>
    <x v="4"/>
    <n v="5"/>
    <n v="3567.46"/>
    <x v="6"/>
    <d v="2026-04-22T00:00:00"/>
    <n v="17837.3"/>
    <x v="5"/>
  </r>
  <r>
    <s v="ORD1866"/>
    <x v="0"/>
    <x v="0"/>
    <n v="2"/>
    <n v="1743.38"/>
    <x v="3"/>
    <d v="2026-04-02T00:00:00"/>
    <n v="3486.76"/>
    <x v="5"/>
  </r>
  <r>
    <s v="ORD1867"/>
    <x v="10"/>
    <x v="3"/>
    <n v="2"/>
    <n v="1865.02"/>
    <x v="8"/>
    <d v="2026-01-05T00:00:00"/>
    <n v="3730.04"/>
    <x v="1"/>
  </r>
  <r>
    <s v="ORD1868"/>
    <x v="1"/>
    <x v="1"/>
    <n v="2"/>
    <n v="1568.15"/>
    <x v="4"/>
    <d v="2026-02-24T00:00:00"/>
    <n v="3136.3"/>
    <x v="2"/>
  </r>
  <r>
    <s v="ORD1869"/>
    <x v="3"/>
    <x v="1"/>
    <n v="1"/>
    <n v="28502.28"/>
    <x v="4"/>
    <d v="2026-02-01T00:00:00"/>
    <n v="28502.28"/>
    <x v="2"/>
  </r>
  <r>
    <s v="ORD1870"/>
    <x v="9"/>
    <x v="3"/>
    <n v="1"/>
    <n v="2436.62"/>
    <x v="0"/>
    <d v="2026-05-17T00:00:00"/>
    <n v="2436.62"/>
    <x v="3"/>
  </r>
  <r>
    <s v="ORD1871"/>
    <x v="2"/>
    <x v="2"/>
    <n v="1"/>
    <n v="458.45"/>
    <x v="7"/>
    <d v="2026-06-19T00:00:00"/>
    <n v="458.45"/>
    <x v="4"/>
  </r>
  <r>
    <s v="ORD1872"/>
    <x v="6"/>
    <x v="1"/>
    <n v="1"/>
    <n v="16373.65"/>
    <x v="2"/>
    <d v="2026-04-17T00:00:00"/>
    <n v="16373.65"/>
    <x v="5"/>
  </r>
  <r>
    <s v="ORD1873"/>
    <x v="8"/>
    <x v="4"/>
    <n v="4"/>
    <n v="3236.52"/>
    <x v="0"/>
    <d v="2026-05-02T00:00:00"/>
    <n v="12946.08"/>
    <x v="3"/>
  </r>
  <r>
    <s v="ORD1874"/>
    <x v="3"/>
    <x v="1"/>
    <n v="2"/>
    <n v="26350.77"/>
    <x v="7"/>
    <d v="2026-03-19T00:00:00"/>
    <n v="52701.54"/>
    <x v="0"/>
  </r>
  <r>
    <s v="ORD1875"/>
    <x v="5"/>
    <x v="0"/>
    <n v="1"/>
    <n v="5161.45"/>
    <x v="0"/>
    <d v="2026-06-09T00:00:00"/>
    <n v="5161.45"/>
    <x v="4"/>
  </r>
  <r>
    <s v="ORD1876"/>
    <x v="2"/>
    <x v="2"/>
    <n v="2"/>
    <n v="442.69"/>
    <x v="2"/>
    <d v="2026-05-11T00:00:00"/>
    <n v="885.38"/>
    <x v="3"/>
  </r>
  <r>
    <s v="ORD1877"/>
    <x v="3"/>
    <x v="1"/>
    <n v="5"/>
    <n v="25859.31"/>
    <x v="2"/>
    <d v="2026-01-28T00:00:00"/>
    <n v="129296.55"/>
    <x v="1"/>
  </r>
  <r>
    <s v="ORD1878"/>
    <x v="8"/>
    <x v="4"/>
    <n v="2"/>
    <n v="3576.3"/>
    <x v="0"/>
    <d v="2026-05-14T00:00:00"/>
    <n v="7152.6"/>
    <x v="3"/>
  </r>
  <r>
    <s v="ORD1879"/>
    <x v="1"/>
    <x v="1"/>
    <n v="3"/>
    <n v="1561.03"/>
    <x v="0"/>
    <d v="2026-02-11T00:00:00"/>
    <n v="4683.09"/>
    <x v="2"/>
  </r>
  <r>
    <s v="ORD1880"/>
    <x v="13"/>
    <x v="1"/>
    <n v="5"/>
    <n v="54959.9"/>
    <x v="5"/>
    <d v="2026-06-26T00:00:00"/>
    <n v="274799.5"/>
    <x v="4"/>
  </r>
  <r>
    <s v="ORD1881"/>
    <x v="8"/>
    <x v="4"/>
    <n v="3"/>
    <n v="3314.15"/>
    <x v="7"/>
    <d v="2026-06-21T00:00:00"/>
    <n v="9942.4500000000007"/>
    <x v="4"/>
  </r>
  <r>
    <s v="ORD1882"/>
    <x v="6"/>
    <x v="1"/>
    <n v="1"/>
    <n v="19206.84"/>
    <x v="3"/>
    <d v="2026-02-08T00:00:00"/>
    <n v="19206.84"/>
    <x v="2"/>
  </r>
  <r>
    <s v="ORD1883"/>
    <x v="6"/>
    <x v="1"/>
    <n v="5"/>
    <n v="16470.169999999998"/>
    <x v="2"/>
    <d v="2026-03-07T00:00:00"/>
    <n v="82350.849999999991"/>
    <x v="0"/>
  </r>
  <r>
    <s v="ORD1884"/>
    <x v="0"/>
    <x v="0"/>
    <n v="2"/>
    <n v="1784.43"/>
    <x v="0"/>
    <d v="2026-03-09T00:00:00"/>
    <n v="3568.86"/>
    <x v="0"/>
  </r>
  <r>
    <s v="ORD1885"/>
    <x v="8"/>
    <x v="4"/>
    <n v="1"/>
    <n v="3219.87"/>
    <x v="4"/>
    <d v="2026-01-11T00:00:00"/>
    <n v="3219.87"/>
    <x v="1"/>
  </r>
  <r>
    <s v="ORD1886"/>
    <x v="7"/>
    <x v="4"/>
    <n v="3"/>
    <n v="6318.28"/>
    <x v="6"/>
    <d v="2026-04-20T00:00:00"/>
    <n v="18954.84"/>
    <x v="5"/>
  </r>
  <r>
    <s v="ORD1887"/>
    <x v="3"/>
    <x v="1"/>
    <n v="1"/>
    <n v="25731.99"/>
    <x v="7"/>
    <d v="2026-01-03T00:00:00"/>
    <n v="25731.99"/>
    <x v="1"/>
  </r>
  <r>
    <s v="ORD1888"/>
    <x v="7"/>
    <x v="4"/>
    <n v="2"/>
    <n v="6712.36"/>
    <x v="4"/>
    <d v="2026-03-26T00:00:00"/>
    <n v="13424.72"/>
    <x v="0"/>
  </r>
  <r>
    <s v="ORD1889"/>
    <x v="9"/>
    <x v="3"/>
    <n v="4"/>
    <n v="2726.45"/>
    <x v="0"/>
    <d v="2026-01-24T00:00:00"/>
    <n v="10905.8"/>
    <x v="1"/>
  </r>
  <r>
    <s v="ORD1890"/>
    <x v="9"/>
    <x v="3"/>
    <n v="3"/>
    <n v="2340.5"/>
    <x v="8"/>
    <d v="2026-04-13T00:00:00"/>
    <n v="7021.5"/>
    <x v="5"/>
  </r>
  <r>
    <s v="ORD1891"/>
    <x v="8"/>
    <x v="4"/>
    <n v="3"/>
    <n v="3735"/>
    <x v="3"/>
    <d v="2026-04-18T00:00:00"/>
    <n v="11205"/>
    <x v="5"/>
  </r>
  <r>
    <s v="ORD1892"/>
    <x v="0"/>
    <x v="0"/>
    <n v="2"/>
    <n v="1660.7"/>
    <x v="7"/>
    <d v="2026-02-10T00:00:00"/>
    <n v="3321.4"/>
    <x v="2"/>
  </r>
  <r>
    <s v="ORD1893"/>
    <x v="6"/>
    <x v="1"/>
    <n v="4"/>
    <n v="19480.419999999998"/>
    <x v="3"/>
    <d v="2026-05-26T00:00:00"/>
    <n v="77921.679999999993"/>
    <x v="3"/>
  </r>
  <r>
    <s v="ORD1894"/>
    <x v="0"/>
    <x v="0"/>
    <n v="4"/>
    <n v="1685.25"/>
    <x v="8"/>
    <d v="2026-04-02T00:00:00"/>
    <n v="6741"/>
    <x v="5"/>
  </r>
  <r>
    <s v="ORD1895"/>
    <x v="2"/>
    <x v="2"/>
    <n v="1"/>
    <n v="482.63"/>
    <x v="4"/>
    <d v="2026-05-04T00:00:00"/>
    <n v="482.63"/>
    <x v="3"/>
  </r>
  <r>
    <s v="ORD1896"/>
    <x v="8"/>
    <x v="4"/>
    <n v="1"/>
    <n v="3771.32"/>
    <x v="3"/>
    <d v="2026-01-12T00:00:00"/>
    <n v="3771.32"/>
    <x v="1"/>
  </r>
  <r>
    <s v="ORD1897"/>
    <x v="6"/>
    <x v="1"/>
    <n v="3"/>
    <n v="18557.900000000001"/>
    <x v="7"/>
    <d v="2026-06-23T00:00:00"/>
    <n v="55673.700000000004"/>
    <x v="4"/>
  </r>
  <r>
    <s v="ORD1898"/>
    <x v="12"/>
    <x v="4"/>
    <n v="5"/>
    <n v="4387.97"/>
    <x v="5"/>
    <d v="2026-06-21T00:00:00"/>
    <n v="21939.850000000002"/>
    <x v="4"/>
  </r>
  <r>
    <s v="ORD1899"/>
    <x v="7"/>
    <x v="4"/>
    <n v="3"/>
    <n v="6524.83"/>
    <x v="9"/>
    <d v="2026-01-25T00:00:00"/>
    <n v="19574.489999999998"/>
    <x v="1"/>
  </r>
  <r>
    <s v="ORD1900"/>
    <x v="5"/>
    <x v="0"/>
    <n v="2"/>
    <n v="4980.93"/>
    <x v="8"/>
    <d v="2026-02-08T00:00:00"/>
    <n v="9961.86"/>
    <x v="2"/>
  </r>
  <r>
    <s v="ORD1901"/>
    <x v="7"/>
    <x v="4"/>
    <n v="5"/>
    <n v="7009.68"/>
    <x v="9"/>
    <d v="2026-01-14T00:00:00"/>
    <n v="35048.400000000001"/>
    <x v="1"/>
  </r>
  <r>
    <s v="ORD1902"/>
    <x v="13"/>
    <x v="1"/>
    <n v="2"/>
    <n v="55061.24"/>
    <x v="3"/>
    <d v="2026-05-07T00:00:00"/>
    <n v="110122.48"/>
    <x v="3"/>
  </r>
  <r>
    <s v="ORD1903"/>
    <x v="7"/>
    <x v="4"/>
    <n v="2"/>
    <n v="5947.32"/>
    <x v="3"/>
    <d v="2026-03-24T00:00:00"/>
    <n v="11894.64"/>
    <x v="0"/>
  </r>
  <r>
    <s v="ORD1904"/>
    <x v="1"/>
    <x v="1"/>
    <n v="3"/>
    <n v="1641.04"/>
    <x v="7"/>
    <d v="2026-05-10T00:00:00"/>
    <n v="4923.12"/>
    <x v="3"/>
  </r>
  <r>
    <s v="ORD1905"/>
    <x v="1"/>
    <x v="1"/>
    <n v="5"/>
    <n v="1543"/>
    <x v="8"/>
    <d v="2026-03-02T00:00:00"/>
    <n v="7715"/>
    <x v="0"/>
  </r>
  <r>
    <s v="ORD1906"/>
    <x v="6"/>
    <x v="1"/>
    <n v="4"/>
    <n v="17799.080000000002"/>
    <x v="9"/>
    <d v="2026-04-25T00:00:00"/>
    <n v="71196.320000000007"/>
    <x v="5"/>
  </r>
  <r>
    <s v="ORD1907"/>
    <x v="6"/>
    <x v="1"/>
    <n v="4"/>
    <n v="17809.45"/>
    <x v="2"/>
    <d v="2026-05-08T00:00:00"/>
    <n v="71237.8"/>
    <x v="3"/>
  </r>
  <r>
    <s v="ORD1908"/>
    <x v="3"/>
    <x v="1"/>
    <n v="1"/>
    <n v="25774.799999999999"/>
    <x v="8"/>
    <d v="2026-01-10T00:00:00"/>
    <n v="25774.799999999999"/>
    <x v="1"/>
  </r>
  <r>
    <s v="ORD1909"/>
    <x v="12"/>
    <x v="4"/>
    <n v="5"/>
    <n v="3780.14"/>
    <x v="2"/>
    <d v="2026-06-04T00:00:00"/>
    <n v="18900.7"/>
    <x v="4"/>
  </r>
  <r>
    <s v="ORD1910"/>
    <x v="2"/>
    <x v="2"/>
    <n v="3"/>
    <n v="485.11"/>
    <x v="1"/>
    <d v="2026-02-22T00:00:00"/>
    <n v="1455.33"/>
    <x v="2"/>
  </r>
  <r>
    <s v="ORD1911"/>
    <x v="0"/>
    <x v="0"/>
    <n v="4"/>
    <n v="1962.13"/>
    <x v="6"/>
    <d v="2026-01-14T00:00:00"/>
    <n v="7848.52"/>
    <x v="1"/>
  </r>
  <r>
    <s v="ORD1912"/>
    <x v="7"/>
    <x v="4"/>
    <n v="2"/>
    <n v="6947.61"/>
    <x v="6"/>
    <d v="2026-05-24T00:00:00"/>
    <n v="13895.22"/>
    <x v="3"/>
  </r>
  <r>
    <s v="ORD1913"/>
    <x v="10"/>
    <x v="3"/>
    <n v="5"/>
    <n v="2038.96"/>
    <x v="6"/>
    <d v="2026-04-26T00:00:00"/>
    <n v="10194.799999999999"/>
    <x v="5"/>
  </r>
  <r>
    <s v="ORD1914"/>
    <x v="6"/>
    <x v="1"/>
    <n v="1"/>
    <n v="18933.55"/>
    <x v="5"/>
    <d v="2026-01-01T00:00:00"/>
    <n v="18933.55"/>
    <x v="1"/>
  </r>
  <r>
    <s v="ORD1915"/>
    <x v="9"/>
    <x v="3"/>
    <n v="3"/>
    <n v="2663.88"/>
    <x v="0"/>
    <d v="2026-05-21T00:00:00"/>
    <n v="7991.64"/>
    <x v="3"/>
  </r>
  <r>
    <s v="ORD1916"/>
    <x v="12"/>
    <x v="4"/>
    <n v="3"/>
    <n v="4369.76"/>
    <x v="7"/>
    <d v="2026-02-12T00:00:00"/>
    <n v="13109.28"/>
    <x v="2"/>
  </r>
  <r>
    <s v="ORD1917"/>
    <x v="8"/>
    <x v="4"/>
    <n v="2"/>
    <n v="3725.29"/>
    <x v="8"/>
    <d v="2026-01-28T00:00:00"/>
    <n v="7450.58"/>
    <x v="1"/>
  </r>
  <r>
    <s v="ORD1918"/>
    <x v="4"/>
    <x v="3"/>
    <n v="5"/>
    <n v="750.41"/>
    <x v="2"/>
    <d v="2026-04-11T00:00:00"/>
    <n v="3752.0499999999997"/>
    <x v="5"/>
  </r>
  <r>
    <s v="ORD1919"/>
    <x v="1"/>
    <x v="1"/>
    <n v="4"/>
    <n v="1597.37"/>
    <x v="5"/>
    <d v="2026-03-28T00:00:00"/>
    <n v="6389.48"/>
    <x v="0"/>
  </r>
  <r>
    <s v="ORD1920"/>
    <x v="6"/>
    <x v="1"/>
    <n v="4"/>
    <n v="16367.4"/>
    <x v="9"/>
    <d v="2026-02-01T00:00:00"/>
    <n v="65469.599999999999"/>
    <x v="2"/>
  </r>
  <r>
    <s v="ORD1921"/>
    <x v="10"/>
    <x v="3"/>
    <n v="4"/>
    <n v="1981.96"/>
    <x v="9"/>
    <d v="2026-05-10T00:00:00"/>
    <n v="7927.84"/>
    <x v="3"/>
  </r>
  <r>
    <s v="ORD1922"/>
    <x v="11"/>
    <x v="1"/>
    <n v="4"/>
    <n v="1981.91"/>
    <x v="7"/>
    <d v="2026-05-22T00:00:00"/>
    <n v="7927.64"/>
    <x v="3"/>
  </r>
  <r>
    <s v="ORD1923"/>
    <x v="5"/>
    <x v="0"/>
    <n v="5"/>
    <n v="4981.9399999999996"/>
    <x v="1"/>
    <d v="2026-02-15T00:00:00"/>
    <n v="24909.699999999997"/>
    <x v="2"/>
  </r>
  <r>
    <s v="ORD1924"/>
    <x v="3"/>
    <x v="1"/>
    <n v="5"/>
    <n v="26172.44"/>
    <x v="4"/>
    <d v="2026-01-27T00:00:00"/>
    <n v="130862.2"/>
    <x v="1"/>
  </r>
  <r>
    <s v="ORD1925"/>
    <x v="5"/>
    <x v="0"/>
    <n v="5"/>
    <n v="5105.1400000000003"/>
    <x v="6"/>
    <d v="2026-05-10T00:00:00"/>
    <n v="25525.7"/>
    <x v="3"/>
  </r>
  <r>
    <s v="ORD1926"/>
    <x v="5"/>
    <x v="0"/>
    <n v="4"/>
    <n v="5478.4"/>
    <x v="5"/>
    <d v="2026-03-12T00:00:00"/>
    <n v="21913.599999999999"/>
    <x v="0"/>
  </r>
  <r>
    <s v="ORD1927"/>
    <x v="5"/>
    <x v="0"/>
    <n v="3"/>
    <n v="5469.4"/>
    <x v="3"/>
    <d v="2026-02-04T00:00:00"/>
    <n v="16408.199999999997"/>
    <x v="2"/>
  </r>
  <r>
    <s v="ORD1928"/>
    <x v="11"/>
    <x v="1"/>
    <n v="4"/>
    <n v="2245.11"/>
    <x v="1"/>
    <d v="2026-03-18T00:00:00"/>
    <n v="8980.44"/>
    <x v="0"/>
  </r>
  <r>
    <s v="ORD1929"/>
    <x v="7"/>
    <x v="4"/>
    <n v="5"/>
    <n v="6968.92"/>
    <x v="1"/>
    <d v="2026-06-11T00:00:00"/>
    <n v="34844.6"/>
    <x v="4"/>
  </r>
  <r>
    <s v="ORD1930"/>
    <x v="1"/>
    <x v="1"/>
    <n v="2"/>
    <n v="1412.91"/>
    <x v="0"/>
    <d v="2026-06-25T00:00:00"/>
    <n v="2825.82"/>
    <x v="4"/>
  </r>
  <r>
    <s v="ORD1931"/>
    <x v="9"/>
    <x v="3"/>
    <n v="2"/>
    <n v="2739.57"/>
    <x v="4"/>
    <d v="2026-05-09T00:00:00"/>
    <n v="5479.14"/>
    <x v="3"/>
  </r>
  <r>
    <s v="ORD1932"/>
    <x v="12"/>
    <x v="4"/>
    <n v="3"/>
    <n v="4376.7"/>
    <x v="6"/>
    <d v="2026-05-24T00:00:00"/>
    <n v="13130.099999999999"/>
    <x v="3"/>
  </r>
  <r>
    <s v="ORD1933"/>
    <x v="8"/>
    <x v="4"/>
    <n v="5"/>
    <n v="3549.45"/>
    <x v="8"/>
    <d v="2026-06-22T00:00:00"/>
    <n v="17747.25"/>
    <x v="4"/>
  </r>
  <r>
    <s v="ORD1934"/>
    <x v="3"/>
    <x v="1"/>
    <n v="5"/>
    <n v="26801.200000000001"/>
    <x v="8"/>
    <d v="2026-01-04T00:00:00"/>
    <n v="134006"/>
    <x v="1"/>
  </r>
  <r>
    <s v="ORD1935"/>
    <x v="12"/>
    <x v="4"/>
    <n v="1"/>
    <n v="3801.23"/>
    <x v="4"/>
    <d v="2026-01-14T00:00:00"/>
    <n v="3801.23"/>
    <x v="1"/>
  </r>
  <r>
    <s v="ORD1936"/>
    <x v="0"/>
    <x v="0"/>
    <n v="1"/>
    <n v="1691.96"/>
    <x v="4"/>
    <d v="2026-03-15T00:00:00"/>
    <n v="1691.96"/>
    <x v="0"/>
  </r>
  <r>
    <s v="ORD1937"/>
    <x v="0"/>
    <x v="0"/>
    <n v="3"/>
    <n v="1672.71"/>
    <x v="7"/>
    <d v="2026-06-26T00:00:00"/>
    <n v="5018.13"/>
    <x v="4"/>
  </r>
  <r>
    <s v="ORD1938"/>
    <x v="10"/>
    <x v="3"/>
    <n v="3"/>
    <n v="1880.66"/>
    <x v="1"/>
    <d v="2026-01-09T00:00:00"/>
    <n v="5641.9800000000005"/>
    <x v="1"/>
  </r>
  <r>
    <s v="ORD1939"/>
    <x v="9"/>
    <x v="3"/>
    <n v="4"/>
    <n v="2300.3200000000002"/>
    <x v="1"/>
    <d v="2026-02-27T00:00:00"/>
    <n v="9201.2800000000007"/>
    <x v="2"/>
  </r>
  <r>
    <s v="ORD1940"/>
    <x v="3"/>
    <x v="1"/>
    <n v="5"/>
    <n v="27377.77"/>
    <x v="1"/>
    <d v="2026-06-28T00:00:00"/>
    <n v="136888.85"/>
    <x v="4"/>
  </r>
  <r>
    <s v="ORD1941"/>
    <x v="4"/>
    <x v="3"/>
    <n v="1"/>
    <n v="867.15"/>
    <x v="8"/>
    <d v="2026-04-17T00:00:00"/>
    <n v="867.15"/>
    <x v="5"/>
  </r>
  <r>
    <s v="ORD1942"/>
    <x v="10"/>
    <x v="3"/>
    <n v="3"/>
    <n v="2185.2399999999998"/>
    <x v="7"/>
    <d v="2026-01-04T00:00:00"/>
    <n v="6555.7199999999993"/>
    <x v="1"/>
  </r>
  <r>
    <s v="ORD1943"/>
    <x v="3"/>
    <x v="1"/>
    <n v="3"/>
    <n v="26337.29"/>
    <x v="3"/>
    <d v="2026-02-27T00:00:00"/>
    <n v="79011.87"/>
    <x v="2"/>
  </r>
  <r>
    <s v="ORD1944"/>
    <x v="0"/>
    <x v="0"/>
    <n v="3"/>
    <n v="1891.84"/>
    <x v="1"/>
    <d v="2026-06-04T00:00:00"/>
    <n v="5675.5199999999995"/>
    <x v="4"/>
  </r>
  <r>
    <s v="ORD1945"/>
    <x v="1"/>
    <x v="1"/>
    <n v="2"/>
    <n v="1438.25"/>
    <x v="4"/>
    <d v="2026-06-24T00:00:00"/>
    <n v="2876.5"/>
    <x v="4"/>
  </r>
  <r>
    <s v="ORD1946"/>
    <x v="6"/>
    <x v="1"/>
    <n v="2"/>
    <n v="19664.91"/>
    <x v="1"/>
    <d v="2026-01-31T00:00:00"/>
    <n v="39329.82"/>
    <x v="1"/>
  </r>
  <r>
    <s v="ORD1947"/>
    <x v="5"/>
    <x v="0"/>
    <n v="1"/>
    <n v="4927.5200000000004"/>
    <x v="1"/>
    <d v="2026-03-09T00:00:00"/>
    <n v="4927.5200000000004"/>
    <x v="0"/>
  </r>
  <r>
    <s v="ORD1948"/>
    <x v="11"/>
    <x v="1"/>
    <n v="2"/>
    <n v="2236.9499999999998"/>
    <x v="0"/>
    <d v="2026-01-02T00:00:00"/>
    <n v="4473.8999999999996"/>
    <x v="1"/>
  </r>
  <r>
    <s v="ORD1949"/>
    <x v="9"/>
    <x v="3"/>
    <n v="4"/>
    <n v="2603.8000000000002"/>
    <x v="4"/>
    <d v="2026-01-11T00:00:00"/>
    <n v="10415.200000000001"/>
    <x v="1"/>
  </r>
  <r>
    <s v="ORD1950"/>
    <x v="11"/>
    <x v="1"/>
    <n v="3"/>
    <n v="2242.63"/>
    <x v="9"/>
    <d v="2026-06-19T00:00:00"/>
    <n v="6727.89"/>
    <x v="4"/>
  </r>
  <r>
    <s v="ORD1951"/>
    <x v="4"/>
    <x v="3"/>
    <n v="4"/>
    <n v="845.33"/>
    <x v="1"/>
    <d v="2026-04-02T00:00:00"/>
    <n v="3381.32"/>
    <x v="5"/>
  </r>
  <r>
    <s v="ORD1952"/>
    <x v="6"/>
    <x v="1"/>
    <n v="3"/>
    <n v="18091.419999999998"/>
    <x v="4"/>
    <d v="2026-05-14T00:00:00"/>
    <n v="54274.259999999995"/>
    <x v="3"/>
  </r>
  <r>
    <s v="ORD1953"/>
    <x v="6"/>
    <x v="1"/>
    <n v="5"/>
    <n v="16773.73"/>
    <x v="1"/>
    <d v="2026-05-18T00:00:00"/>
    <n v="83868.649999999994"/>
    <x v="3"/>
  </r>
  <r>
    <s v="ORD1954"/>
    <x v="5"/>
    <x v="0"/>
    <n v="1"/>
    <n v="4848.43"/>
    <x v="5"/>
    <d v="2026-06-19T00:00:00"/>
    <n v="4848.43"/>
    <x v="4"/>
  </r>
  <r>
    <s v="ORD1955"/>
    <x v="9"/>
    <x v="3"/>
    <n v="3"/>
    <n v="2429.4299999999998"/>
    <x v="5"/>
    <d v="2026-06-08T00:00:00"/>
    <n v="7288.2899999999991"/>
    <x v="4"/>
  </r>
  <r>
    <s v="ORD1956"/>
    <x v="12"/>
    <x v="4"/>
    <n v="4"/>
    <n v="4617.17"/>
    <x v="7"/>
    <d v="2026-01-30T00:00:00"/>
    <n v="18468.68"/>
    <x v="1"/>
  </r>
  <r>
    <s v="ORD1957"/>
    <x v="0"/>
    <x v="0"/>
    <n v="3"/>
    <n v="1780.44"/>
    <x v="9"/>
    <d v="2026-06-09T00:00:00"/>
    <n v="5341.32"/>
    <x v="4"/>
  </r>
  <r>
    <s v="ORD1958"/>
    <x v="1"/>
    <x v="1"/>
    <n v="1"/>
    <n v="1554.77"/>
    <x v="6"/>
    <d v="2026-04-08T00:00:00"/>
    <n v="1554.77"/>
    <x v="5"/>
  </r>
  <r>
    <s v="ORD1959"/>
    <x v="10"/>
    <x v="3"/>
    <n v="1"/>
    <n v="1953.37"/>
    <x v="1"/>
    <d v="2026-03-14T00:00:00"/>
    <n v="1953.37"/>
    <x v="0"/>
  </r>
  <r>
    <s v="ORD1960"/>
    <x v="13"/>
    <x v="1"/>
    <n v="5"/>
    <n v="58543.199999999997"/>
    <x v="6"/>
    <d v="2026-05-12T00:00:00"/>
    <n v="292716"/>
    <x v="3"/>
  </r>
  <r>
    <s v="ORD1961"/>
    <x v="10"/>
    <x v="3"/>
    <n v="5"/>
    <n v="1977.23"/>
    <x v="7"/>
    <d v="2026-03-17T00:00:00"/>
    <n v="9886.15"/>
    <x v="0"/>
  </r>
  <r>
    <s v="ORD1962"/>
    <x v="0"/>
    <x v="0"/>
    <n v="2"/>
    <n v="1735.31"/>
    <x v="2"/>
    <d v="2026-01-25T00:00:00"/>
    <n v="3470.62"/>
    <x v="1"/>
  </r>
  <r>
    <s v="ORD1963"/>
    <x v="11"/>
    <x v="1"/>
    <n v="5"/>
    <n v="2214.61"/>
    <x v="2"/>
    <d v="2026-02-23T00:00:00"/>
    <n v="11073.050000000001"/>
    <x v="2"/>
  </r>
  <r>
    <s v="ORD1964"/>
    <x v="0"/>
    <x v="0"/>
    <n v="2"/>
    <n v="1931.38"/>
    <x v="8"/>
    <d v="2026-01-27T00:00:00"/>
    <n v="3862.76"/>
    <x v="1"/>
  </r>
  <r>
    <s v="ORD1965"/>
    <x v="1"/>
    <x v="1"/>
    <n v="5"/>
    <n v="1598.62"/>
    <x v="8"/>
    <d v="2026-06-15T00:00:00"/>
    <n v="7993.0999999999995"/>
    <x v="4"/>
  </r>
  <r>
    <s v="ORD1966"/>
    <x v="7"/>
    <x v="4"/>
    <n v="1"/>
    <n v="6820.96"/>
    <x v="4"/>
    <d v="2026-01-07T00:00:00"/>
    <n v="6820.96"/>
    <x v="1"/>
  </r>
  <r>
    <s v="ORD1967"/>
    <x v="8"/>
    <x v="4"/>
    <n v="3"/>
    <n v="3176.52"/>
    <x v="2"/>
    <d v="2026-01-14T00:00:00"/>
    <n v="9529.56"/>
    <x v="1"/>
  </r>
  <r>
    <s v="ORD1968"/>
    <x v="11"/>
    <x v="1"/>
    <n v="3"/>
    <n v="2225.56"/>
    <x v="9"/>
    <d v="2026-02-28T00:00:00"/>
    <n v="6676.68"/>
    <x v="2"/>
  </r>
  <r>
    <s v="ORD1969"/>
    <x v="4"/>
    <x v="3"/>
    <n v="4"/>
    <n v="781.11"/>
    <x v="8"/>
    <d v="2026-04-21T00:00:00"/>
    <n v="3124.44"/>
    <x v="5"/>
  </r>
  <r>
    <s v="ORD1970"/>
    <x v="9"/>
    <x v="3"/>
    <n v="1"/>
    <n v="2443.77"/>
    <x v="2"/>
    <d v="2026-05-17T00:00:00"/>
    <n v="2443.77"/>
    <x v="3"/>
  </r>
  <r>
    <s v="ORD1971"/>
    <x v="13"/>
    <x v="1"/>
    <n v="5"/>
    <n v="50195.61"/>
    <x v="9"/>
    <d v="2026-01-12T00:00:00"/>
    <n v="250978.05"/>
    <x v="1"/>
  </r>
  <r>
    <s v="ORD1972"/>
    <x v="3"/>
    <x v="1"/>
    <n v="1"/>
    <n v="27203.119999999999"/>
    <x v="1"/>
    <d v="2026-01-28T00:00:00"/>
    <n v="27203.119999999999"/>
    <x v="1"/>
  </r>
  <r>
    <s v="ORD1973"/>
    <x v="4"/>
    <x v="3"/>
    <n v="3"/>
    <n v="816.03"/>
    <x v="0"/>
    <d v="2026-04-23T00:00:00"/>
    <n v="2448.09"/>
    <x v="5"/>
  </r>
  <r>
    <s v="ORD1974"/>
    <x v="5"/>
    <x v="0"/>
    <n v="4"/>
    <n v="5321.06"/>
    <x v="7"/>
    <d v="2026-05-02T00:00:00"/>
    <n v="21284.240000000002"/>
    <x v="3"/>
  </r>
  <r>
    <s v="ORD1975"/>
    <x v="11"/>
    <x v="1"/>
    <n v="5"/>
    <n v="2076.7399999999998"/>
    <x v="8"/>
    <d v="2026-05-20T00:00:00"/>
    <n v="10383.699999999999"/>
    <x v="3"/>
  </r>
  <r>
    <s v="ORD1976"/>
    <x v="4"/>
    <x v="3"/>
    <n v="2"/>
    <n v="766.73"/>
    <x v="6"/>
    <d v="2026-01-03T00:00:00"/>
    <n v="1533.46"/>
    <x v="1"/>
  </r>
  <r>
    <s v="ORD1977"/>
    <x v="12"/>
    <x v="4"/>
    <n v="5"/>
    <n v="3898.75"/>
    <x v="7"/>
    <d v="2026-01-02T00:00:00"/>
    <n v="19493.75"/>
    <x v="1"/>
  </r>
  <r>
    <s v="ORD1978"/>
    <x v="2"/>
    <x v="2"/>
    <n v="5"/>
    <n v="440.47"/>
    <x v="1"/>
    <d v="2026-01-22T00:00:00"/>
    <n v="2202.3500000000004"/>
    <x v="1"/>
  </r>
  <r>
    <s v="ORD1979"/>
    <x v="4"/>
    <x v="3"/>
    <n v="2"/>
    <n v="838.68"/>
    <x v="6"/>
    <d v="2026-02-24T00:00:00"/>
    <n v="1677.36"/>
    <x v="2"/>
  </r>
  <r>
    <s v="ORD1980"/>
    <x v="5"/>
    <x v="0"/>
    <n v="5"/>
    <n v="4641.53"/>
    <x v="4"/>
    <d v="2026-02-26T00:00:00"/>
    <n v="23207.649999999998"/>
    <x v="2"/>
  </r>
  <r>
    <s v="ORD1981"/>
    <x v="2"/>
    <x v="2"/>
    <n v="3"/>
    <n v="422.49"/>
    <x v="4"/>
    <d v="2026-06-21T00:00:00"/>
    <n v="1267.47"/>
    <x v="4"/>
  </r>
  <r>
    <s v="ORD1982"/>
    <x v="10"/>
    <x v="3"/>
    <n v="5"/>
    <n v="2139.83"/>
    <x v="1"/>
    <d v="2026-04-29T00:00:00"/>
    <n v="10699.15"/>
    <x v="5"/>
  </r>
  <r>
    <s v="ORD1983"/>
    <x v="0"/>
    <x v="0"/>
    <n v="5"/>
    <n v="1646.33"/>
    <x v="2"/>
    <d v="2026-03-06T00:00:00"/>
    <n v="8231.65"/>
    <x v="0"/>
  </r>
  <r>
    <s v="ORD1984"/>
    <x v="6"/>
    <x v="1"/>
    <n v="2"/>
    <n v="18812.12"/>
    <x v="3"/>
    <d v="2026-03-26T00:00:00"/>
    <n v="37624.239999999998"/>
    <x v="0"/>
  </r>
  <r>
    <s v="ORD1985"/>
    <x v="9"/>
    <x v="3"/>
    <n v="2"/>
    <n v="2584.61"/>
    <x v="5"/>
    <d v="2026-01-26T00:00:00"/>
    <n v="5169.22"/>
    <x v="1"/>
  </r>
  <r>
    <s v="ORD1986"/>
    <x v="4"/>
    <x v="3"/>
    <n v="5"/>
    <n v="730.26"/>
    <x v="5"/>
    <d v="2026-03-23T00:00:00"/>
    <n v="3651.3"/>
    <x v="0"/>
  </r>
  <r>
    <s v="ORD1987"/>
    <x v="8"/>
    <x v="4"/>
    <n v="4"/>
    <n v="3379.84"/>
    <x v="0"/>
    <d v="2026-06-27T00:00:00"/>
    <n v="13519.36"/>
    <x v="4"/>
  </r>
  <r>
    <s v="ORD1988"/>
    <x v="2"/>
    <x v="2"/>
    <n v="2"/>
    <n v="455.9"/>
    <x v="6"/>
    <d v="2026-03-22T00:00:00"/>
    <n v="911.8"/>
    <x v="0"/>
  </r>
  <r>
    <s v="ORD1989"/>
    <x v="5"/>
    <x v="0"/>
    <n v="2"/>
    <n v="4503.93"/>
    <x v="5"/>
    <d v="2026-02-26T00:00:00"/>
    <n v="9007.86"/>
    <x v="2"/>
  </r>
  <r>
    <s v="ORD1990"/>
    <x v="3"/>
    <x v="1"/>
    <n v="4"/>
    <n v="26749.41"/>
    <x v="6"/>
    <d v="2026-02-04T00:00:00"/>
    <n v="106997.64"/>
    <x v="2"/>
  </r>
  <r>
    <s v="ORD1991"/>
    <x v="0"/>
    <x v="0"/>
    <n v="3"/>
    <n v="1936.04"/>
    <x v="3"/>
    <d v="2026-04-25T00:00:00"/>
    <n v="5808.12"/>
    <x v="5"/>
  </r>
  <r>
    <s v="ORD1992"/>
    <x v="9"/>
    <x v="3"/>
    <n v="3"/>
    <n v="2492.4899999999998"/>
    <x v="2"/>
    <d v="2026-02-14T00:00:00"/>
    <n v="7477.4699999999993"/>
    <x v="2"/>
  </r>
  <r>
    <s v="ORD1993"/>
    <x v="0"/>
    <x v="0"/>
    <n v="5"/>
    <n v="1649.51"/>
    <x v="0"/>
    <d v="2026-02-05T00:00:00"/>
    <n v="8247.5499999999993"/>
    <x v="2"/>
  </r>
  <r>
    <s v="ORD1994"/>
    <x v="12"/>
    <x v="4"/>
    <n v="2"/>
    <n v="4001.12"/>
    <x v="2"/>
    <d v="2026-01-20T00:00:00"/>
    <n v="8002.24"/>
    <x v="1"/>
  </r>
  <r>
    <s v="ORD1995"/>
    <x v="13"/>
    <x v="1"/>
    <n v="5"/>
    <n v="56447.89"/>
    <x v="9"/>
    <d v="2026-05-29T00:00:00"/>
    <n v="282239.45"/>
    <x v="3"/>
  </r>
  <r>
    <s v="ORD1996"/>
    <x v="5"/>
    <x v="0"/>
    <n v="5"/>
    <n v="4711.82"/>
    <x v="7"/>
    <d v="2026-05-22T00:00:00"/>
    <n v="23559.1"/>
    <x v="3"/>
  </r>
  <r>
    <s v="ORD1997"/>
    <x v="4"/>
    <x v="3"/>
    <n v="5"/>
    <n v="861.96"/>
    <x v="1"/>
    <d v="2026-05-01T00:00:00"/>
    <n v="4309.8"/>
    <x v="3"/>
  </r>
  <r>
    <s v="ORD1998"/>
    <x v="0"/>
    <x v="0"/>
    <n v="2"/>
    <n v="1751.69"/>
    <x v="5"/>
    <d v="2026-05-31T00:00:00"/>
    <n v="3503.38"/>
    <x v="3"/>
  </r>
  <r>
    <s v="ORD1999"/>
    <x v="3"/>
    <x v="1"/>
    <n v="3"/>
    <n v="25949.74"/>
    <x v="1"/>
    <d v="2026-05-11T00:00:00"/>
    <n v="77849.22"/>
    <x v="3"/>
  </r>
  <r>
    <s v="ORD2000"/>
    <x v="6"/>
    <x v="1"/>
    <n v="4"/>
    <n v="17509.919999999998"/>
    <x v="7"/>
    <d v="2026-06-19T00:00:00"/>
    <n v="70039.67999999999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M1:N16" firstHeaderRow="1" firstDataRow="1" firstDataCol="1"/>
  <pivotFields count="9">
    <pivotField showAll="0"/>
    <pivotField axis="axisRow" showAll="0">
      <items count="15">
        <item x="7"/>
        <item x="0"/>
        <item x="2"/>
        <item x="12"/>
        <item x="11"/>
        <item x="10"/>
        <item x="1"/>
        <item x="13"/>
        <item x="8"/>
        <item x="9"/>
        <item x="6"/>
        <item x="3"/>
        <item x="4"/>
        <item x="5"/>
        <item t="default"/>
      </items>
    </pivotField>
    <pivotField showAll="0">
      <items count="6">
        <item x="0"/>
        <item x="2"/>
        <item x="1"/>
        <item x="3"/>
        <item x="4"/>
        <item t="default"/>
      </items>
    </pivotField>
    <pivotField dataField="1" showAll="0"/>
    <pivotField showAll="0"/>
    <pivotField showAll="0">
      <items count="11">
        <item h="1" x="7"/>
        <item h="1" x="5"/>
        <item h="1" x="8"/>
        <item h="1" x="4"/>
        <item h="1" x="0"/>
        <item h="1" x="3"/>
        <item h="1" x="9"/>
        <item h="1" x="2"/>
        <item h="1" x="6"/>
        <item x="1"/>
        <item t="default"/>
      </items>
    </pivotField>
    <pivotField numFmtId="14" showAll="0"/>
    <pivotField showAll="0"/>
    <pivotField showAll="0">
      <items count="7">
        <item x="1"/>
        <item x="2"/>
        <item x="0"/>
        <item x="5"/>
        <item x="3"/>
        <item x="4"/>
        <item t="default"/>
      </items>
    </pivotField>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Quantity" fld="3" baseField="0" baseItem="0"/>
  </dataFields>
  <chartFormats count="15">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2">
          <reference field="4294967294" count="1" selected="0">
            <x v="0"/>
          </reference>
          <reference field="1" count="1" selected="0">
            <x v="1"/>
          </reference>
        </references>
      </pivotArea>
    </chartFormat>
    <chartFormat chart="15" format="4" series="1">
      <pivotArea type="data" outline="0" fieldPosition="0">
        <references count="2">
          <reference field="4294967294" count="1" selected="0">
            <x v="0"/>
          </reference>
          <reference field="1" count="1" selected="0">
            <x v="2"/>
          </reference>
        </references>
      </pivotArea>
    </chartFormat>
    <chartFormat chart="15" format="5" series="1">
      <pivotArea type="data" outline="0" fieldPosition="0">
        <references count="2">
          <reference field="4294967294" count="1" selected="0">
            <x v="0"/>
          </reference>
          <reference field="1" count="1" selected="0">
            <x v="3"/>
          </reference>
        </references>
      </pivotArea>
    </chartFormat>
    <chartFormat chart="15" format="6" series="1">
      <pivotArea type="data" outline="0" fieldPosition="0">
        <references count="2">
          <reference field="4294967294" count="1" selected="0">
            <x v="0"/>
          </reference>
          <reference field="1" count="1" selected="0">
            <x v="4"/>
          </reference>
        </references>
      </pivotArea>
    </chartFormat>
    <chartFormat chart="15" format="7" series="1">
      <pivotArea type="data" outline="0" fieldPosition="0">
        <references count="2">
          <reference field="4294967294" count="1" selected="0">
            <x v="0"/>
          </reference>
          <reference field="1" count="1" selected="0">
            <x v="5"/>
          </reference>
        </references>
      </pivotArea>
    </chartFormat>
    <chartFormat chart="15" format="8" series="1">
      <pivotArea type="data" outline="0" fieldPosition="0">
        <references count="2">
          <reference field="4294967294" count="1" selected="0">
            <x v="0"/>
          </reference>
          <reference field="1" count="1" selected="0">
            <x v="6"/>
          </reference>
        </references>
      </pivotArea>
    </chartFormat>
    <chartFormat chart="15" format="9" series="1">
      <pivotArea type="data" outline="0" fieldPosition="0">
        <references count="2">
          <reference field="4294967294" count="1" selected="0">
            <x v="0"/>
          </reference>
          <reference field="1" count="1" selected="0">
            <x v="7"/>
          </reference>
        </references>
      </pivotArea>
    </chartFormat>
    <chartFormat chart="15" format="10" series="1">
      <pivotArea type="data" outline="0" fieldPosition="0">
        <references count="2">
          <reference field="4294967294" count="1" selected="0">
            <x v="0"/>
          </reference>
          <reference field="1" count="1" selected="0">
            <x v="8"/>
          </reference>
        </references>
      </pivotArea>
    </chartFormat>
    <chartFormat chart="15" format="11" series="1">
      <pivotArea type="data" outline="0" fieldPosition="0">
        <references count="2">
          <reference field="4294967294" count="1" selected="0">
            <x v="0"/>
          </reference>
          <reference field="1" count="1" selected="0">
            <x v="9"/>
          </reference>
        </references>
      </pivotArea>
    </chartFormat>
    <chartFormat chart="15" format="12" series="1">
      <pivotArea type="data" outline="0" fieldPosition="0">
        <references count="2">
          <reference field="4294967294" count="1" selected="0">
            <x v="0"/>
          </reference>
          <reference field="1" count="1" selected="0">
            <x v="10"/>
          </reference>
        </references>
      </pivotArea>
    </chartFormat>
    <chartFormat chart="15" format="13" series="1">
      <pivotArea type="data" outline="0" fieldPosition="0">
        <references count="2">
          <reference field="4294967294" count="1" selected="0">
            <x v="0"/>
          </reference>
          <reference field="1" count="1" selected="0">
            <x v="11"/>
          </reference>
        </references>
      </pivotArea>
    </chartFormat>
    <chartFormat chart="15" format="14" series="1">
      <pivotArea type="data" outline="0" fieldPosition="0">
        <references count="2">
          <reference field="4294967294" count="1" selected="0">
            <x v="0"/>
          </reference>
          <reference field="1" count="1" selected="0">
            <x v="12"/>
          </reference>
        </references>
      </pivotArea>
    </chartFormat>
    <chartFormat chart="15" format="15" series="1">
      <pivotArea type="data" outline="0" fieldPosition="0">
        <references count="2">
          <reference field="4294967294" count="1" selected="0">
            <x v="0"/>
          </reference>
          <reference field="1" count="1" selected="0">
            <x v="13"/>
          </reference>
        </references>
      </pivotArea>
    </chartFormat>
    <chartFormat chart="15" format="16"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I1:J8" firstHeaderRow="1" firstDataRow="1" firstDataCol="1"/>
  <pivotFields count="9">
    <pivotField showAll="0"/>
    <pivotField showAll="0"/>
    <pivotField showAll="0">
      <items count="6">
        <item x="0"/>
        <item x="2"/>
        <item x="1"/>
        <item x="3"/>
        <item x="4"/>
        <item t="default"/>
      </items>
    </pivotField>
    <pivotField showAll="0"/>
    <pivotField showAll="0"/>
    <pivotField showAll="0">
      <items count="11">
        <item h="1" x="7"/>
        <item h="1" x="5"/>
        <item h="1" x="8"/>
        <item h="1" x="4"/>
        <item h="1" x="0"/>
        <item h="1" x="3"/>
        <item h="1" x="9"/>
        <item h="1" x="2"/>
        <item h="1" x="6"/>
        <item x="1"/>
        <item t="default"/>
      </items>
    </pivotField>
    <pivotField numFmtId="14" showAll="0"/>
    <pivotField dataField="1" showAll="0"/>
    <pivotField axis="axisRow" showAll="0">
      <items count="7">
        <item x="1"/>
        <item x="2"/>
        <item x="0"/>
        <item x="5"/>
        <item x="3"/>
        <item x="4"/>
        <item t="default"/>
      </items>
    </pivotField>
  </pivotFields>
  <rowFields count="1">
    <field x="8"/>
  </rowFields>
  <rowItems count="7">
    <i>
      <x/>
    </i>
    <i>
      <x v="1"/>
    </i>
    <i>
      <x v="2"/>
    </i>
    <i>
      <x v="3"/>
    </i>
    <i>
      <x v="4"/>
    </i>
    <i>
      <x v="5"/>
    </i>
    <i t="grand">
      <x/>
    </i>
  </rowItems>
  <colItems count="1">
    <i/>
  </colItems>
  <dataFields count="1">
    <dataField name="Sum of Total_Revenue"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E1:F3" firstHeaderRow="1" firstDataRow="1" firstDataCol="1"/>
  <pivotFields count="9">
    <pivotField showAll="0"/>
    <pivotField showAll="0"/>
    <pivotField showAll="0">
      <items count="6">
        <item x="0"/>
        <item x="2"/>
        <item x="1"/>
        <item x="3"/>
        <item x="4"/>
        <item t="default"/>
      </items>
    </pivotField>
    <pivotField showAll="0"/>
    <pivotField showAll="0"/>
    <pivotField axis="axisRow" showAll="0">
      <items count="11">
        <item h="1" x="7"/>
        <item h="1" x="5"/>
        <item h="1" x="8"/>
        <item h="1" x="4"/>
        <item h="1" x="0"/>
        <item h="1" x="3"/>
        <item h="1" x="9"/>
        <item h="1" x="2"/>
        <item h="1" x="6"/>
        <item x="1"/>
        <item t="default"/>
      </items>
    </pivotField>
    <pivotField numFmtId="14" showAll="0"/>
    <pivotField dataField="1" showAll="0"/>
    <pivotField showAll="0">
      <items count="7">
        <item x="1"/>
        <item x="2"/>
        <item x="0"/>
        <item x="5"/>
        <item x="3"/>
        <item x="4"/>
        <item t="default"/>
      </items>
    </pivotField>
  </pivotFields>
  <rowFields count="1">
    <field x="5"/>
  </rowFields>
  <rowItems count="2">
    <i>
      <x v="9"/>
    </i>
    <i t="grand">
      <x/>
    </i>
  </rowItems>
  <colItems count="1">
    <i/>
  </colItems>
  <dataFields count="1">
    <dataField name="Sum of Total_Revenue" fld="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B7" firstHeaderRow="1" firstDataRow="1" firstDataCol="1"/>
  <pivotFields count="9">
    <pivotField showAll="0"/>
    <pivotField showAll="0"/>
    <pivotField axis="axisRow" showAll="0">
      <items count="6">
        <item x="0"/>
        <item x="2"/>
        <item x="1"/>
        <item x="3"/>
        <item x="4"/>
        <item t="default"/>
      </items>
    </pivotField>
    <pivotField showAll="0"/>
    <pivotField showAll="0"/>
    <pivotField showAll="0">
      <items count="11">
        <item h="1" x="7"/>
        <item h="1" x="5"/>
        <item h="1" x="8"/>
        <item h="1" x="4"/>
        <item h="1" x="0"/>
        <item h="1" x="3"/>
        <item h="1" x="9"/>
        <item h="1" x="2"/>
        <item h="1" x="6"/>
        <item x="1"/>
        <item t="default"/>
      </items>
    </pivotField>
    <pivotField numFmtId="14" showAll="0"/>
    <pivotField dataField="1" showAll="0"/>
    <pivotField showAll="0">
      <items count="7">
        <item x="1"/>
        <item x="2"/>
        <item x="0"/>
        <item x="5"/>
        <item x="3"/>
        <item x="4"/>
        <item t="default"/>
      </items>
    </pivotField>
  </pivotFields>
  <rowFields count="1">
    <field x="2"/>
  </rowFields>
  <rowItems count="6">
    <i>
      <x/>
    </i>
    <i>
      <x v="1"/>
    </i>
    <i>
      <x v="2"/>
    </i>
    <i>
      <x v="3"/>
    </i>
    <i>
      <x v="4"/>
    </i>
    <i t="grand">
      <x/>
    </i>
  </rowItems>
  <colItems count="1">
    <i/>
  </colItems>
  <dataFields count="1">
    <dataField name="Sum of Total_Revenue" fld="7" baseField="0" baseItem="0"/>
  </dataField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 count="1" selected="0">
            <x v="0"/>
          </reference>
        </references>
      </pivotArea>
    </chartFormat>
    <chartFormat chart="8" format="9">
      <pivotArea type="data" outline="0" fieldPosition="0">
        <references count="2">
          <reference field="4294967294" count="1" selected="0">
            <x v="0"/>
          </reference>
          <reference field="2" count="1" selected="0">
            <x v="1"/>
          </reference>
        </references>
      </pivotArea>
    </chartFormat>
    <chartFormat chart="8" format="10">
      <pivotArea type="data" outline="0" fieldPosition="0">
        <references count="2">
          <reference field="4294967294" count="1" selected="0">
            <x v="0"/>
          </reference>
          <reference field="2" count="1" selected="0">
            <x v="2"/>
          </reference>
        </references>
      </pivotArea>
    </chartFormat>
    <chartFormat chart="8" format="11">
      <pivotArea type="data" outline="0" fieldPosition="0">
        <references count="2">
          <reference field="4294967294" count="1" selected="0">
            <x v="0"/>
          </reference>
          <reference field="2" count="1" selected="0">
            <x v="3"/>
          </reference>
        </references>
      </pivotArea>
    </chartFormat>
    <chartFormat chart="8"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2" name="PivotTable1"/>
    <pivotTable tabId="2" name="PivotTable2"/>
    <pivotTable tabId="2" name="PivotTable3"/>
    <pivotTable tabId="2" name="PivotTable4"/>
  </pivotTables>
  <data>
    <tabular pivotCacheId="1193843077">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2000000}" sourceName="City">
  <pivotTables>
    <pivotTable tabId="2" name="PivotTable1"/>
    <pivotTable tabId="2" name="PivotTable2"/>
    <pivotTable tabId="2" name="PivotTable3"/>
    <pivotTable tabId="2" name="PivotTable4"/>
  </pivotTables>
  <data>
    <tabular pivotCacheId="1193843077">
      <items count="10">
        <i x="7"/>
        <i x="5"/>
        <i x="8"/>
        <i x="4"/>
        <i x="0"/>
        <i x="3"/>
        <i x="9"/>
        <i x="2"/>
        <i x="6"/>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3000000}" sourceName="Month">
  <pivotTables>
    <pivotTable tabId="2" name="PivotTable1"/>
    <pivotTable tabId="2" name="PivotTable2"/>
    <pivotTable tabId="2" name="PivotTable3"/>
    <pivotTable tabId="2" name="PivotTable4"/>
  </pivotTables>
  <data>
    <tabular pivotCacheId="1193843077">
      <items count="6">
        <i x="1" s="1"/>
        <i x="2" s="1"/>
        <i x="0"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columnCount="3" style="SlicerStyleDark1" rowHeight="234950"/>
  <slicer name="City" xr10:uid="{00000000-0014-0000-FFFF-FFFF02000000}" cache="Slicer_City" caption="City" columnCount="4" style="SlicerStyleDark1" rowHeight="234950"/>
  <slicer name="Month" xr10:uid="{00000000-0014-0000-FFFF-FFFF03000000}" cache="Slicer_Month" caption="Month" columnCount="3"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1"/>
  <sheetViews>
    <sheetView workbookViewId="0">
      <selection sqref="A1:I1001"/>
    </sheetView>
  </sheetViews>
  <sheetFormatPr defaultRowHeight="14.4" x14ac:dyDescent="0.3"/>
  <cols>
    <col min="1" max="1" width="15.21875" customWidth="1"/>
    <col min="2" max="3" width="13" customWidth="1"/>
    <col min="4" max="4" width="15" customWidth="1"/>
    <col min="5" max="5" width="19.5546875" customWidth="1"/>
    <col min="7" max="7" width="15.88671875" customWidth="1"/>
    <col min="8" max="9" width="13.77734375" customWidth="1"/>
  </cols>
  <sheetData>
    <row r="1" spans="1:9" x14ac:dyDescent="0.3">
      <c r="A1" t="s">
        <v>0</v>
      </c>
      <c r="B1" t="s">
        <v>1</v>
      </c>
      <c r="C1" t="s">
        <v>2</v>
      </c>
      <c r="D1" t="s">
        <v>3</v>
      </c>
      <c r="E1" t="s">
        <v>4</v>
      </c>
      <c r="F1" t="s">
        <v>5</v>
      </c>
      <c r="G1" t="s">
        <v>6</v>
      </c>
      <c r="H1" t="s">
        <v>1036</v>
      </c>
      <c r="I1" t="s">
        <v>1037</v>
      </c>
    </row>
    <row r="2" spans="1:9" x14ac:dyDescent="0.3">
      <c r="A2" t="s">
        <v>7</v>
      </c>
      <c r="B2" t="s">
        <v>8</v>
      </c>
      <c r="C2" t="s">
        <v>9</v>
      </c>
      <c r="D2">
        <v>1</v>
      </c>
      <c r="E2">
        <v>1629</v>
      </c>
      <c r="F2" t="s">
        <v>10</v>
      </c>
      <c r="G2" s="1">
        <v>46085</v>
      </c>
      <c r="H2">
        <f>D2*E2</f>
        <v>1629</v>
      </c>
      <c r="I2" t="str">
        <f>TEXT(G2, "mmmm")</f>
        <v>March</v>
      </c>
    </row>
    <row r="3" spans="1:9" x14ac:dyDescent="0.3">
      <c r="A3" t="s">
        <v>11</v>
      </c>
      <c r="B3" t="s">
        <v>12</v>
      </c>
      <c r="C3" t="s">
        <v>13</v>
      </c>
      <c r="D3">
        <v>2</v>
      </c>
      <c r="E3">
        <v>1570.94</v>
      </c>
      <c r="F3" t="s">
        <v>14</v>
      </c>
      <c r="G3" s="1">
        <v>46045</v>
      </c>
      <c r="H3">
        <f t="shared" ref="H3:H66" si="0">D3*E3</f>
        <v>3141.88</v>
      </c>
      <c r="I3" t="str">
        <f t="shared" ref="I3:I66" si="1">TEXT(G3, "mmmm")</f>
        <v>January</v>
      </c>
    </row>
    <row r="4" spans="1:9" x14ac:dyDescent="0.3">
      <c r="A4" t="s">
        <v>15</v>
      </c>
      <c r="B4" t="s">
        <v>16</v>
      </c>
      <c r="C4" t="s">
        <v>17</v>
      </c>
      <c r="D4">
        <v>4</v>
      </c>
      <c r="E4">
        <v>407.86</v>
      </c>
      <c r="F4" t="s">
        <v>18</v>
      </c>
      <c r="G4" s="1">
        <v>46078</v>
      </c>
      <c r="H4">
        <f t="shared" si="0"/>
        <v>1631.44</v>
      </c>
      <c r="I4" t="str">
        <f t="shared" si="1"/>
        <v>February</v>
      </c>
    </row>
    <row r="5" spans="1:9" x14ac:dyDescent="0.3">
      <c r="A5" t="s">
        <v>19</v>
      </c>
      <c r="B5" t="s">
        <v>12</v>
      </c>
      <c r="C5" t="s">
        <v>13</v>
      </c>
      <c r="D5">
        <v>5</v>
      </c>
      <c r="E5">
        <v>1530.61</v>
      </c>
      <c r="F5" t="s">
        <v>14</v>
      </c>
      <c r="G5" s="1">
        <v>46073</v>
      </c>
      <c r="H5">
        <f t="shared" si="0"/>
        <v>7653.0499999999993</v>
      </c>
      <c r="I5" t="str">
        <f t="shared" si="1"/>
        <v>February</v>
      </c>
    </row>
    <row r="6" spans="1:9" x14ac:dyDescent="0.3">
      <c r="A6" t="s">
        <v>20</v>
      </c>
      <c r="B6" t="s">
        <v>21</v>
      </c>
      <c r="C6" t="s">
        <v>13</v>
      </c>
      <c r="D6">
        <v>5</v>
      </c>
      <c r="E6">
        <v>27549.31</v>
      </c>
      <c r="F6" t="s">
        <v>22</v>
      </c>
      <c r="G6" s="1">
        <v>46173</v>
      </c>
      <c r="H6">
        <f t="shared" si="0"/>
        <v>137746.55000000002</v>
      </c>
      <c r="I6" t="str">
        <f t="shared" si="1"/>
        <v>May</v>
      </c>
    </row>
    <row r="7" spans="1:9" x14ac:dyDescent="0.3">
      <c r="A7" t="s">
        <v>23</v>
      </c>
      <c r="B7" t="s">
        <v>24</v>
      </c>
      <c r="C7" t="s">
        <v>25</v>
      </c>
      <c r="D7">
        <v>1</v>
      </c>
      <c r="E7">
        <v>840.36</v>
      </c>
      <c r="F7" t="s">
        <v>26</v>
      </c>
      <c r="G7" s="1">
        <v>46201</v>
      </c>
      <c r="H7">
        <f t="shared" si="0"/>
        <v>840.36</v>
      </c>
      <c r="I7" t="str">
        <f t="shared" si="1"/>
        <v>June</v>
      </c>
    </row>
    <row r="8" spans="1:9" x14ac:dyDescent="0.3">
      <c r="A8" t="s">
        <v>27</v>
      </c>
      <c r="B8" t="s">
        <v>28</v>
      </c>
      <c r="C8" t="s">
        <v>9</v>
      </c>
      <c r="D8">
        <v>3</v>
      </c>
      <c r="E8">
        <v>4776.92</v>
      </c>
      <c r="F8" t="s">
        <v>29</v>
      </c>
      <c r="G8" s="1">
        <v>46109</v>
      </c>
      <c r="H8">
        <f t="shared" si="0"/>
        <v>14330.76</v>
      </c>
      <c r="I8" t="str">
        <f t="shared" si="1"/>
        <v>March</v>
      </c>
    </row>
    <row r="9" spans="1:9" x14ac:dyDescent="0.3">
      <c r="A9" t="s">
        <v>30</v>
      </c>
      <c r="B9" t="s">
        <v>31</v>
      </c>
      <c r="C9" t="s">
        <v>13</v>
      </c>
      <c r="D9">
        <v>1</v>
      </c>
      <c r="E9">
        <v>17567.740000000002</v>
      </c>
      <c r="F9" t="s">
        <v>32</v>
      </c>
      <c r="G9" s="1">
        <v>46111</v>
      </c>
      <c r="H9">
        <f t="shared" si="0"/>
        <v>17567.740000000002</v>
      </c>
      <c r="I9" t="str">
        <f t="shared" si="1"/>
        <v>March</v>
      </c>
    </row>
    <row r="10" spans="1:9" x14ac:dyDescent="0.3">
      <c r="A10" t="s">
        <v>33</v>
      </c>
      <c r="B10" t="s">
        <v>16</v>
      </c>
      <c r="C10" t="s">
        <v>17</v>
      </c>
      <c r="D10">
        <v>3</v>
      </c>
      <c r="E10">
        <v>477.64</v>
      </c>
      <c r="F10" t="s">
        <v>22</v>
      </c>
      <c r="G10" s="1">
        <v>46160</v>
      </c>
      <c r="H10">
        <f t="shared" si="0"/>
        <v>1432.92</v>
      </c>
      <c r="I10" t="str">
        <f t="shared" si="1"/>
        <v>May</v>
      </c>
    </row>
    <row r="11" spans="1:9" x14ac:dyDescent="0.3">
      <c r="A11" t="s">
        <v>34</v>
      </c>
      <c r="B11" t="s">
        <v>31</v>
      </c>
      <c r="C11" t="s">
        <v>13</v>
      </c>
      <c r="D11">
        <v>4</v>
      </c>
      <c r="E11">
        <v>16483.68</v>
      </c>
      <c r="F11" t="s">
        <v>10</v>
      </c>
      <c r="G11" s="1">
        <v>46183</v>
      </c>
      <c r="H11">
        <f t="shared" si="0"/>
        <v>65934.720000000001</v>
      </c>
      <c r="I11" t="str">
        <f t="shared" si="1"/>
        <v>June</v>
      </c>
    </row>
    <row r="12" spans="1:9" x14ac:dyDescent="0.3">
      <c r="A12" t="s">
        <v>35</v>
      </c>
      <c r="B12" t="s">
        <v>16</v>
      </c>
      <c r="C12" t="s">
        <v>17</v>
      </c>
      <c r="D12">
        <v>3</v>
      </c>
      <c r="E12">
        <v>456.96</v>
      </c>
      <c r="F12" t="s">
        <v>18</v>
      </c>
      <c r="G12" s="1">
        <v>46034</v>
      </c>
      <c r="H12">
        <f t="shared" si="0"/>
        <v>1370.8799999999999</v>
      </c>
      <c r="I12" t="str">
        <f t="shared" si="1"/>
        <v>January</v>
      </c>
    </row>
    <row r="13" spans="1:9" x14ac:dyDescent="0.3">
      <c r="A13" t="s">
        <v>36</v>
      </c>
      <c r="B13" t="s">
        <v>8</v>
      </c>
      <c r="C13" t="s">
        <v>9</v>
      </c>
      <c r="D13">
        <v>2</v>
      </c>
      <c r="E13">
        <v>1898.3</v>
      </c>
      <c r="F13" t="s">
        <v>18</v>
      </c>
      <c r="G13" s="1">
        <v>46082</v>
      </c>
      <c r="H13">
        <f t="shared" si="0"/>
        <v>3796.6</v>
      </c>
      <c r="I13" t="str">
        <f t="shared" si="1"/>
        <v>March</v>
      </c>
    </row>
    <row r="14" spans="1:9" x14ac:dyDescent="0.3">
      <c r="A14" t="s">
        <v>37</v>
      </c>
      <c r="B14" t="s">
        <v>38</v>
      </c>
      <c r="C14" t="s">
        <v>39</v>
      </c>
      <c r="D14">
        <v>1</v>
      </c>
      <c r="E14">
        <v>6344.16</v>
      </c>
      <c r="F14" t="s">
        <v>22</v>
      </c>
      <c r="G14" s="1">
        <v>46185</v>
      </c>
      <c r="H14">
        <f t="shared" si="0"/>
        <v>6344.16</v>
      </c>
      <c r="I14" t="str">
        <f t="shared" si="1"/>
        <v>June</v>
      </c>
    </row>
    <row r="15" spans="1:9" x14ac:dyDescent="0.3">
      <c r="A15" t="s">
        <v>40</v>
      </c>
      <c r="B15" t="s">
        <v>38</v>
      </c>
      <c r="C15" t="s">
        <v>39</v>
      </c>
      <c r="D15">
        <v>3</v>
      </c>
      <c r="E15">
        <v>6061.45</v>
      </c>
      <c r="F15" t="s">
        <v>32</v>
      </c>
      <c r="G15" s="1">
        <v>46076</v>
      </c>
      <c r="H15">
        <f t="shared" si="0"/>
        <v>18184.349999999999</v>
      </c>
      <c r="I15" t="str">
        <f t="shared" si="1"/>
        <v>February</v>
      </c>
    </row>
    <row r="16" spans="1:9" x14ac:dyDescent="0.3">
      <c r="A16" t="s">
        <v>41</v>
      </c>
      <c r="B16" t="s">
        <v>8</v>
      </c>
      <c r="C16" t="s">
        <v>9</v>
      </c>
      <c r="D16">
        <v>3</v>
      </c>
      <c r="E16">
        <v>1872.66</v>
      </c>
      <c r="F16" t="s">
        <v>18</v>
      </c>
      <c r="G16" s="1">
        <v>46178</v>
      </c>
      <c r="H16">
        <f t="shared" si="0"/>
        <v>5617.9800000000005</v>
      </c>
      <c r="I16" t="str">
        <f t="shared" si="1"/>
        <v>June</v>
      </c>
    </row>
    <row r="17" spans="1:9" x14ac:dyDescent="0.3">
      <c r="A17" t="s">
        <v>42</v>
      </c>
      <c r="B17" t="s">
        <v>8</v>
      </c>
      <c r="C17" t="s">
        <v>9</v>
      </c>
      <c r="D17">
        <v>2</v>
      </c>
      <c r="E17">
        <v>1812.29</v>
      </c>
      <c r="F17" t="s">
        <v>29</v>
      </c>
      <c r="G17" s="1">
        <v>46064</v>
      </c>
      <c r="H17">
        <f t="shared" si="0"/>
        <v>3624.58</v>
      </c>
      <c r="I17" t="str">
        <f t="shared" si="1"/>
        <v>February</v>
      </c>
    </row>
    <row r="18" spans="1:9" x14ac:dyDescent="0.3">
      <c r="A18" t="s">
        <v>43</v>
      </c>
      <c r="B18" t="s">
        <v>44</v>
      </c>
      <c r="C18" t="s">
        <v>39</v>
      </c>
      <c r="D18">
        <v>4</v>
      </c>
      <c r="E18">
        <v>3338.96</v>
      </c>
      <c r="F18" t="s">
        <v>14</v>
      </c>
      <c r="G18" s="1">
        <v>46079</v>
      </c>
      <c r="H18">
        <f t="shared" si="0"/>
        <v>13355.84</v>
      </c>
      <c r="I18" t="str">
        <f t="shared" si="1"/>
        <v>February</v>
      </c>
    </row>
    <row r="19" spans="1:9" x14ac:dyDescent="0.3">
      <c r="A19" t="s">
        <v>45</v>
      </c>
      <c r="B19" t="s">
        <v>8</v>
      </c>
      <c r="C19" t="s">
        <v>9</v>
      </c>
      <c r="D19">
        <v>3</v>
      </c>
      <c r="E19">
        <v>1923.43</v>
      </c>
      <c r="F19" t="s">
        <v>46</v>
      </c>
      <c r="G19" s="1">
        <v>46081</v>
      </c>
      <c r="H19">
        <f t="shared" si="0"/>
        <v>5770.29</v>
      </c>
      <c r="I19" t="str">
        <f t="shared" si="1"/>
        <v>February</v>
      </c>
    </row>
    <row r="20" spans="1:9" x14ac:dyDescent="0.3">
      <c r="A20" t="s">
        <v>47</v>
      </c>
      <c r="B20" t="s">
        <v>38</v>
      </c>
      <c r="C20" t="s">
        <v>39</v>
      </c>
      <c r="D20">
        <v>1</v>
      </c>
      <c r="E20">
        <v>6896.56</v>
      </c>
      <c r="F20" t="s">
        <v>48</v>
      </c>
      <c r="G20" s="1">
        <v>46091</v>
      </c>
      <c r="H20">
        <f t="shared" si="0"/>
        <v>6896.56</v>
      </c>
      <c r="I20" t="str">
        <f t="shared" si="1"/>
        <v>March</v>
      </c>
    </row>
    <row r="21" spans="1:9" x14ac:dyDescent="0.3">
      <c r="A21" t="s">
        <v>49</v>
      </c>
      <c r="B21" t="s">
        <v>31</v>
      </c>
      <c r="C21" t="s">
        <v>13</v>
      </c>
      <c r="D21">
        <v>2</v>
      </c>
      <c r="E21">
        <v>19487.29</v>
      </c>
      <c r="F21" t="s">
        <v>50</v>
      </c>
      <c r="G21" s="1">
        <v>46103</v>
      </c>
      <c r="H21">
        <f t="shared" si="0"/>
        <v>38974.58</v>
      </c>
      <c r="I21" t="str">
        <f t="shared" si="1"/>
        <v>March</v>
      </c>
    </row>
    <row r="22" spans="1:9" x14ac:dyDescent="0.3">
      <c r="A22" t="s">
        <v>51</v>
      </c>
      <c r="B22" t="s">
        <v>12</v>
      </c>
      <c r="C22" t="s">
        <v>13</v>
      </c>
      <c r="D22">
        <v>4</v>
      </c>
      <c r="E22">
        <v>1468.69</v>
      </c>
      <c r="F22" t="s">
        <v>22</v>
      </c>
      <c r="G22" s="1">
        <v>46059</v>
      </c>
      <c r="H22">
        <f t="shared" si="0"/>
        <v>5874.76</v>
      </c>
      <c r="I22" t="str">
        <f t="shared" si="1"/>
        <v>February</v>
      </c>
    </row>
    <row r="23" spans="1:9" x14ac:dyDescent="0.3">
      <c r="A23" t="s">
        <v>52</v>
      </c>
      <c r="B23" t="s">
        <v>24</v>
      </c>
      <c r="C23" t="s">
        <v>25</v>
      </c>
      <c r="D23">
        <v>2</v>
      </c>
      <c r="E23">
        <v>758.51</v>
      </c>
      <c r="F23" t="s">
        <v>14</v>
      </c>
      <c r="G23" s="1">
        <v>46160</v>
      </c>
      <c r="H23">
        <f t="shared" si="0"/>
        <v>1517.02</v>
      </c>
      <c r="I23" t="str">
        <f t="shared" si="1"/>
        <v>May</v>
      </c>
    </row>
    <row r="24" spans="1:9" x14ac:dyDescent="0.3">
      <c r="A24" t="s">
        <v>53</v>
      </c>
      <c r="B24" t="s">
        <v>24</v>
      </c>
      <c r="C24" t="s">
        <v>25</v>
      </c>
      <c r="D24">
        <v>5</v>
      </c>
      <c r="E24">
        <v>787.56</v>
      </c>
      <c r="F24" t="s">
        <v>50</v>
      </c>
      <c r="G24" s="1">
        <v>46125</v>
      </c>
      <c r="H24">
        <f t="shared" si="0"/>
        <v>3937.7999999999997</v>
      </c>
      <c r="I24" t="str">
        <f t="shared" si="1"/>
        <v>April</v>
      </c>
    </row>
    <row r="25" spans="1:9" x14ac:dyDescent="0.3">
      <c r="A25" t="s">
        <v>54</v>
      </c>
      <c r="B25" t="s">
        <v>55</v>
      </c>
      <c r="C25" t="s">
        <v>25</v>
      </c>
      <c r="D25">
        <v>2</v>
      </c>
      <c r="E25">
        <v>2747.56</v>
      </c>
      <c r="F25" t="s">
        <v>26</v>
      </c>
      <c r="G25" s="1">
        <v>46153</v>
      </c>
      <c r="H25">
        <f t="shared" si="0"/>
        <v>5495.12</v>
      </c>
      <c r="I25" t="str">
        <f t="shared" si="1"/>
        <v>May</v>
      </c>
    </row>
    <row r="26" spans="1:9" x14ac:dyDescent="0.3">
      <c r="A26" t="s">
        <v>56</v>
      </c>
      <c r="B26" t="s">
        <v>44</v>
      </c>
      <c r="C26" t="s">
        <v>39</v>
      </c>
      <c r="D26">
        <v>1</v>
      </c>
      <c r="E26">
        <v>3679.05</v>
      </c>
      <c r="F26" t="s">
        <v>18</v>
      </c>
      <c r="G26" s="1">
        <v>46062</v>
      </c>
      <c r="H26">
        <f t="shared" si="0"/>
        <v>3679.05</v>
      </c>
      <c r="I26" t="str">
        <f t="shared" si="1"/>
        <v>February</v>
      </c>
    </row>
    <row r="27" spans="1:9" x14ac:dyDescent="0.3">
      <c r="A27" t="s">
        <v>57</v>
      </c>
      <c r="B27" t="s">
        <v>8</v>
      </c>
      <c r="C27" t="s">
        <v>9</v>
      </c>
      <c r="D27">
        <v>2</v>
      </c>
      <c r="E27">
        <v>1905.15</v>
      </c>
      <c r="F27" t="s">
        <v>48</v>
      </c>
      <c r="G27" s="1">
        <v>46175</v>
      </c>
      <c r="H27">
        <f t="shared" si="0"/>
        <v>3810.3</v>
      </c>
      <c r="I27" t="str">
        <f t="shared" si="1"/>
        <v>June</v>
      </c>
    </row>
    <row r="28" spans="1:9" x14ac:dyDescent="0.3">
      <c r="A28" t="s">
        <v>58</v>
      </c>
      <c r="B28" t="s">
        <v>31</v>
      </c>
      <c r="C28" t="s">
        <v>13</v>
      </c>
      <c r="D28">
        <v>4</v>
      </c>
      <c r="E28">
        <v>17573.830000000002</v>
      </c>
      <c r="F28" t="s">
        <v>22</v>
      </c>
      <c r="G28" s="1">
        <v>46158</v>
      </c>
      <c r="H28">
        <f t="shared" si="0"/>
        <v>70295.320000000007</v>
      </c>
      <c r="I28" t="str">
        <f t="shared" si="1"/>
        <v>May</v>
      </c>
    </row>
    <row r="29" spans="1:9" x14ac:dyDescent="0.3">
      <c r="A29" t="s">
        <v>59</v>
      </c>
      <c r="B29" t="s">
        <v>24</v>
      </c>
      <c r="C29" t="s">
        <v>25</v>
      </c>
      <c r="D29">
        <v>5</v>
      </c>
      <c r="E29">
        <v>856.65</v>
      </c>
      <c r="F29" t="s">
        <v>46</v>
      </c>
      <c r="G29" s="1">
        <v>46197</v>
      </c>
      <c r="H29">
        <f t="shared" si="0"/>
        <v>4283.25</v>
      </c>
      <c r="I29" t="str">
        <f t="shared" si="1"/>
        <v>June</v>
      </c>
    </row>
    <row r="30" spans="1:9" x14ac:dyDescent="0.3">
      <c r="A30" t="s">
        <v>60</v>
      </c>
      <c r="B30" t="s">
        <v>21</v>
      </c>
      <c r="C30" t="s">
        <v>13</v>
      </c>
      <c r="D30">
        <v>1</v>
      </c>
      <c r="E30">
        <v>29017.58</v>
      </c>
      <c r="F30" t="s">
        <v>14</v>
      </c>
      <c r="G30" s="1">
        <v>46091</v>
      </c>
      <c r="H30">
        <f t="shared" si="0"/>
        <v>29017.58</v>
      </c>
      <c r="I30" t="str">
        <f t="shared" si="1"/>
        <v>March</v>
      </c>
    </row>
    <row r="31" spans="1:9" x14ac:dyDescent="0.3">
      <c r="A31" t="s">
        <v>61</v>
      </c>
      <c r="B31" t="s">
        <v>62</v>
      </c>
      <c r="C31" t="s">
        <v>25</v>
      </c>
      <c r="D31">
        <v>3</v>
      </c>
      <c r="E31">
        <v>1843.7</v>
      </c>
      <c r="F31" t="s">
        <v>48</v>
      </c>
      <c r="G31" s="1">
        <v>46063</v>
      </c>
      <c r="H31">
        <f t="shared" si="0"/>
        <v>5531.1</v>
      </c>
      <c r="I31" t="str">
        <f t="shared" si="1"/>
        <v>February</v>
      </c>
    </row>
    <row r="32" spans="1:9" x14ac:dyDescent="0.3">
      <c r="A32" t="s">
        <v>63</v>
      </c>
      <c r="B32" t="s">
        <v>44</v>
      </c>
      <c r="C32" t="s">
        <v>39</v>
      </c>
      <c r="D32">
        <v>1</v>
      </c>
      <c r="E32">
        <v>3817.67</v>
      </c>
      <c r="F32" t="s">
        <v>10</v>
      </c>
      <c r="G32" s="1">
        <v>46151</v>
      </c>
      <c r="H32">
        <f t="shared" si="0"/>
        <v>3817.67</v>
      </c>
      <c r="I32" t="str">
        <f t="shared" si="1"/>
        <v>May</v>
      </c>
    </row>
    <row r="33" spans="1:9" x14ac:dyDescent="0.3">
      <c r="A33" t="s">
        <v>64</v>
      </c>
      <c r="B33" t="s">
        <v>62</v>
      </c>
      <c r="C33" t="s">
        <v>25</v>
      </c>
      <c r="D33">
        <v>2</v>
      </c>
      <c r="E33">
        <v>2002.07</v>
      </c>
      <c r="F33" t="s">
        <v>18</v>
      </c>
      <c r="G33" s="1">
        <v>46183</v>
      </c>
      <c r="H33">
        <f t="shared" si="0"/>
        <v>4004.14</v>
      </c>
      <c r="I33" t="str">
        <f t="shared" si="1"/>
        <v>June</v>
      </c>
    </row>
    <row r="34" spans="1:9" x14ac:dyDescent="0.3">
      <c r="A34" t="s">
        <v>65</v>
      </c>
      <c r="B34" t="s">
        <v>24</v>
      </c>
      <c r="C34" t="s">
        <v>25</v>
      </c>
      <c r="D34">
        <v>5</v>
      </c>
      <c r="E34">
        <v>816.41</v>
      </c>
      <c r="F34" t="s">
        <v>26</v>
      </c>
      <c r="G34" s="1">
        <v>46118</v>
      </c>
      <c r="H34">
        <f t="shared" si="0"/>
        <v>4082.0499999999997</v>
      </c>
      <c r="I34" t="str">
        <f t="shared" si="1"/>
        <v>April</v>
      </c>
    </row>
    <row r="35" spans="1:9" x14ac:dyDescent="0.3">
      <c r="A35" t="s">
        <v>66</v>
      </c>
      <c r="B35" t="s">
        <v>62</v>
      </c>
      <c r="C35" t="s">
        <v>25</v>
      </c>
      <c r="D35">
        <v>2</v>
      </c>
      <c r="E35">
        <v>2014.74</v>
      </c>
      <c r="F35" t="s">
        <v>14</v>
      </c>
      <c r="G35" s="1">
        <v>46023</v>
      </c>
      <c r="H35">
        <f t="shared" si="0"/>
        <v>4029.48</v>
      </c>
      <c r="I35" t="str">
        <f t="shared" si="1"/>
        <v>January</v>
      </c>
    </row>
    <row r="36" spans="1:9" x14ac:dyDescent="0.3">
      <c r="A36" t="s">
        <v>67</v>
      </c>
      <c r="B36" t="s">
        <v>16</v>
      </c>
      <c r="C36" t="s">
        <v>17</v>
      </c>
      <c r="D36">
        <v>3</v>
      </c>
      <c r="E36">
        <v>448.97</v>
      </c>
      <c r="F36" t="s">
        <v>18</v>
      </c>
      <c r="G36" s="1">
        <v>46115</v>
      </c>
      <c r="H36">
        <f t="shared" si="0"/>
        <v>1346.91</v>
      </c>
      <c r="I36" t="str">
        <f t="shared" si="1"/>
        <v>April</v>
      </c>
    </row>
    <row r="37" spans="1:9" x14ac:dyDescent="0.3">
      <c r="A37" t="s">
        <v>68</v>
      </c>
      <c r="B37" t="s">
        <v>38</v>
      </c>
      <c r="C37" t="s">
        <v>39</v>
      </c>
      <c r="D37">
        <v>3</v>
      </c>
      <c r="E37">
        <v>6161.29</v>
      </c>
      <c r="F37" t="s">
        <v>29</v>
      </c>
      <c r="G37" s="1">
        <v>46168</v>
      </c>
      <c r="H37">
        <f t="shared" si="0"/>
        <v>18483.87</v>
      </c>
      <c r="I37" t="str">
        <f t="shared" si="1"/>
        <v>May</v>
      </c>
    </row>
    <row r="38" spans="1:9" x14ac:dyDescent="0.3">
      <c r="A38" t="s">
        <v>69</v>
      </c>
      <c r="B38" t="s">
        <v>31</v>
      </c>
      <c r="C38" t="s">
        <v>13</v>
      </c>
      <c r="D38">
        <v>1</v>
      </c>
      <c r="E38">
        <v>18834.87</v>
      </c>
      <c r="F38" t="s">
        <v>18</v>
      </c>
      <c r="G38" s="1">
        <v>46159</v>
      </c>
      <c r="H38">
        <f t="shared" si="0"/>
        <v>18834.87</v>
      </c>
      <c r="I38" t="str">
        <f t="shared" si="1"/>
        <v>May</v>
      </c>
    </row>
    <row r="39" spans="1:9" x14ac:dyDescent="0.3">
      <c r="A39" t="s">
        <v>70</v>
      </c>
      <c r="B39" t="s">
        <v>62</v>
      </c>
      <c r="C39" t="s">
        <v>25</v>
      </c>
      <c r="D39">
        <v>2</v>
      </c>
      <c r="E39">
        <v>1850.43</v>
      </c>
      <c r="F39" t="s">
        <v>22</v>
      </c>
      <c r="G39" s="1">
        <v>46163</v>
      </c>
      <c r="H39">
        <f t="shared" si="0"/>
        <v>3700.86</v>
      </c>
      <c r="I39" t="str">
        <f t="shared" si="1"/>
        <v>May</v>
      </c>
    </row>
    <row r="40" spans="1:9" x14ac:dyDescent="0.3">
      <c r="A40" t="s">
        <v>71</v>
      </c>
      <c r="B40" t="s">
        <v>72</v>
      </c>
      <c r="C40" t="s">
        <v>13</v>
      </c>
      <c r="D40">
        <v>3</v>
      </c>
      <c r="E40">
        <v>2212.1799999999998</v>
      </c>
      <c r="F40" t="s">
        <v>50</v>
      </c>
      <c r="G40" s="1">
        <v>46131</v>
      </c>
      <c r="H40">
        <f t="shared" si="0"/>
        <v>6636.5399999999991</v>
      </c>
      <c r="I40" t="str">
        <f t="shared" si="1"/>
        <v>April</v>
      </c>
    </row>
    <row r="41" spans="1:9" x14ac:dyDescent="0.3">
      <c r="A41" t="s">
        <v>73</v>
      </c>
      <c r="B41" t="s">
        <v>12</v>
      </c>
      <c r="C41" t="s">
        <v>13</v>
      </c>
      <c r="D41">
        <v>5</v>
      </c>
      <c r="E41">
        <v>1576.58</v>
      </c>
      <c r="F41" t="s">
        <v>29</v>
      </c>
      <c r="G41" s="1">
        <v>46102</v>
      </c>
      <c r="H41">
        <f t="shared" si="0"/>
        <v>7882.9</v>
      </c>
      <c r="I41" t="str">
        <f t="shared" si="1"/>
        <v>March</v>
      </c>
    </row>
    <row r="42" spans="1:9" x14ac:dyDescent="0.3">
      <c r="A42" t="s">
        <v>74</v>
      </c>
      <c r="B42" t="s">
        <v>28</v>
      </c>
      <c r="C42" t="s">
        <v>9</v>
      </c>
      <c r="D42">
        <v>3</v>
      </c>
      <c r="E42">
        <v>4937.1099999999997</v>
      </c>
      <c r="F42" t="s">
        <v>14</v>
      </c>
      <c r="G42" s="1">
        <v>46138</v>
      </c>
      <c r="H42">
        <f t="shared" si="0"/>
        <v>14811.329999999998</v>
      </c>
      <c r="I42" t="str">
        <f t="shared" si="1"/>
        <v>April</v>
      </c>
    </row>
    <row r="43" spans="1:9" x14ac:dyDescent="0.3">
      <c r="A43" t="s">
        <v>75</v>
      </c>
      <c r="B43" t="s">
        <v>31</v>
      </c>
      <c r="C43" t="s">
        <v>13</v>
      </c>
      <c r="D43">
        <v>2</v>
      </c>
      <c r="E43">
        <v>17008.91</v>
      </c>
      <c r="F43" t="s">
        <v>32</v>
      </c>
      <c r="G43" s="1">
        <v>46028</v>
      </c>
      <c r="H43">
        <f t="shared" si="0"/>
        <v>34017.82</v>
      </c>
      <c r="I43" t="str">
        <f t="shared" si="1"/>
        <v>January</v>
      </c>
    </row>
    <row r="44" spans="1:9" x14ac:dyDescent="0.3">
      <c r="A44" t="s">
        <v>76</v>
      </c>
      <c r="B44" t="s">
        <v>16</v>
      </c>
      <c r="C44" t="s">
        <v>17</v>
      </c>
      <c r="D44">
        <v>5</v>
      </c>
      <c r="E44">
        <v>425.71</v>
      </c>
      <c r="F44" t="s">
        <v>29</v>
      </c>
      <c r="G44" s="1">
        <v>46024</v>
      </c>
      <c r="H44">
        <f t="shared" si="0"/>
        <v>2128.5499999999997</v>
      </c>
      <c r="I44" t="str">
        <f t="shared" si="1"/>
        <v>January</v>
      </c>
    </row>
    <row r="45" spans="1:9" x14ac:dyDescent="0.3">
      <c r="A45" t="s">
        <v>77</v>
      </c>
      <c r="B45" t="s">
        <v>31</v>
      </c>
      <c r="C45" t="s">
        <v>13</v>
      </c>
      <c r="D45">
        <v>1</v>
      </c>
      <c r="E45">
        <v>17024.189999999999</v>
      </c>
      <c r="F45" t="s">
        <v>46</v>
      </c>
      <c r="G45" s="1">
        <v>46107</v>
      </c>
      <c r="H45">
        <f t="shared" si="0"/>
        <v>17024.189999999999</v>
      </c>
      <c r="I45" t="str">
        <f t="shared" si="1"/>
        <v>March</v>
      </c>
    </row>
    <row r="46" spans="1:9" x14ac:dyDescent="0.3">
      <c r="A46" t="s">
        <v>78</v>
      </c>
      <c r="B46" t="s">
        <v>31</v>
      </c>
      <c r="C46" t="s">
        <v>13</v>
      </c>
      <c r="D46">
        <v>5</v>
      </c>
      <c r="E46">
        <v>17056.82</v>
      </c>
      <c r="F46" t="s">
        <v>22</v>
      </c>
      <c r="G46" s="1">
        <v>46077</v>
      </c>
      <c r="H46">
        <f t="shared" si="0"/>
        <v>85284.1</v>
      </c>
      <c r="I46" t="str">
        <f t="shared" si="1"/>
        <v>February</v>
      </c>
    </row>
    <row r="47" spans="1:9" x14ac:dyDescent="0.3">
      <c r="A47" t="s">
        <v>79</v>
      </c>
      <c r="B47" t="s">
        <v>80</v>
      </c>
      <c r="C47" t="s">
        <v>39</v>
      </c>
      <c r="D47">
        <v>2</v>
      </c>
      <c r="E47">
        <v>4387.62</v>
      </c>
      <c r="F47" t="s">
        <v>50</v>
      </c>
      <c r="G47" s="1">
        <v>46170</v>
      </c>
      <c r="H47">
        <f t="shared" si="0"/>
        <v>8775.24</v>
      </c>
      <c r="I47" t="str">
        <f t="shared" si="1"/>
        <v>May</v>
      </c>
    </row>
    <row r="48" spans="1:9" x14ac:dyDescent="0.3">
      <c r="A48" t="s">
        <v>81</v>
      </c>
      <c r="B48" t="s">
        <v>44</v>
      </c>
      <c r="C48" t="s">
        <v>39</v>
      </c>
      <c r="D48">
        <v>2</v>
      </c>
      <c r="E48">
        <v>3699.23</v>
      </c>
      <c r="F48" t="s">
        <v>48</v>
      </c>
      <c r="G48" s="1">
        <v>46071</v>
      </c>
      <c r="H48">
        <f t="shared" si="0"/>
        <v>7398.46</v>
      </c>
      <c r="I48" t="str">
        <f t="shared" si="1"/>
        <v>February</v>
      </c>
    </row>
    <row r="49" spans="1:9" x14ac:dyDescent="0.3">
      <c r="A49" t="s">
        <v>82</v>
      </c>
      <c r="B49" t="s">
        <v>31</v>
      </c>
      <c r="C49" t="s">
        <v>13</v>
      </c>
      <c r="D49">
        <v>1</v>
      </c>
      <c r="E49">
        <v>18572.34</v>
      </c>
      <c r="F49" t="s">
        <v>32</v>
      </c>
      <c r="G49" s="1">
        <v>46131</v>
      </c>
      <c r="H49">
        <f t="shared" si="0"/>
        <v>18572.34</v>
      </c>
      <c r="I49" t="str">
        <f t="shared" si="1"/>
        <v>April</v>
      </c>
    </row>
    <row r="50" spans="1:9" x14ac:dyDescent="0.3">
      <c r="A50" t="s">
        <v>83</v>
      </c>
      <c r="B50" t="s">
        <v>28</v>
      </c>
      <c r="C50" t="s">
        <v>9</v>
      </c>
      <c r="D50">
        <v>4</v>
      </c>
      <c r="E50">
        <v>5362.76</v>
      </c>
      <c r="F50" t="s">
        <v>46</v>
      </c>
      <c r="G50" s="1">
        <v>46195</v>
      </c>
      <c r="H50">
        <f t="shared" si="0"/>
        <v>21451.040000000001</v>
      </c>
      <c r="I50" t="str">
        <f t="shared" si="1"/>
        <v>June</v>
      </c>
    </row>
    <row r="51" spans="1:9" x14ac:dyDescent="0.3">
      <c r="A51" t="s">
        <v>84</v>
      </c>
      <c r="B51" t="s">
        <v>8</v>
      </c>
      <c r="C51" t="s">
        <v>9</v>
      </c>
      <c r="D51">
        <v>1</v>
      </c>
      <c r="E51">
        <v>1641.82</v>
      </c>
      <c r="F51" t="s">
        <v>32</v>
      </c>
      <c r="G51" s="1">
        <v>46050</v>
      </c>
      <c r="H51">
        <f t="shared" si="0"/>
        <v>1641.82</v>
      </c>
      <c r="I51" t="str">
        <f t="shared" si="1"/>
        <v>January</v>
      </c>
    </row>
    <row r="52" spans="1:9" x14ac:dyDescent="0.3">
      <c r="A52" t="s">
        <v>85</v>
      </c>
      <c r="B52" t="s">
        <v>12</v>
      </c>
      <c r="C52" t="s">
        <v>13</v>
      </c>
      <c r="D52">
        <v>2</v>
      </c>
      <c r="E52">
        <v>1407.06</v>
      </c>
      <c r="F52" t="s">
        <v>22</v>
      </c>
      <c r="G52" s="1">
        <v>46058</v>
      </c>
      <c r="H52">
        <f t="shared" si="0"/>
        <v>2814.12</v>
      </c>
      <c r="I52" t="str">
        <f t="shared" si="1"/>
        <v>February</v>
      </c>
    </row>
    <row r="53" spans="1:9" x14ac:dyDescent="0.3">
      <c r="A53" t="s">
        <v>86</v>
      </c>
      <c r="B53" t="s">
        <v>28</v>
      </c>
      <c r="C53" t="s">
        <v>9</v>
      </c>
      <c r="D53">
        <v>2</v>
      </c>
      <c r="E53">
        <v>4777.59</v>
      </c>
      <c r="F53" t="s">
        <v>29</v>
      </c>
      <c r="G53" s="1">
        <v>46042</v>
      </c>
      <c r="H53">
        <f t="shared" si="0"/>
        <v>9555.18</v>
      </c>
      <c r="I53" t="str">
        <f t="shared" si="1"/>
        <v>January</v>
      </c>
    </row>
    <row r="54" spans="1:9" x14ac:dyDescent="0.3">
      <c r="A54" t="s">
        <v>87</v>
      </c>
      <c r="B54" t="s">
        <v>44</v>
      </c>
      <c r="C54" t="s">
        <v>39</v>
      </c>
      <c r="D54">
        <v>5</v>
      </c>
      <c r="E54">
        <v>3218.54</v>
      </c>
      <c r="F54" t="s">
        <v>14</v>
      </c>
      <c r="G54" s="1">
        <v>46026</v>
      </c>
      <c r="H54">
        <f t="shared" si="0"/>
        <v>16092.7</v>
      </c>
      <c r="I54" t="str">
        <f t="shared" si="1"/>
        <v>January</v>
      </c>
    </row>
    <row r="55" spans="1:9" x14ac:dyDescent="0.3">
      <c r="A55" t="s">
        <v>88</v>
      </c>
      <c r="B55" t="s">
        <v>31</v>
      </c>
      <c r="C55" t="s">
        <v>13</v>
      </c>
      <c r="D55">
        <v>2</v>
      </c>
      <c r="E55">
        <v>16798.72</v>
      </c>
      <c r="F55" t="s">
        <v>22</v>
      </c>
      <c r="G55" s="1">
        <v>46146</v>
      </c>
      <c r="H55">
        <f t="shared" si="0"/>
        <v>33597.440000000002</v>
      </c>
      <c r="I55" t="str">
        <f t="shared" si="1"/>
        <v>May</v>
      </c>
    </row>
    <row r="56" spans="1:9" x14ac:dyDescent="0.3">
      <c r="A56" t="s">
        <v>89</v>
      </c>
      <c r="B56" t="s">
        <v>12</v>
      </c>
      <c r="C56" t="s">
        <v>13</v>
      </c>
      <c r="D56">
        <v>4</v>
      </c>
      <c r="E56">
        <v>1620.73</v>
      </c>
      <c r="F56" t="s">
        <v>26</v>
      </c>
      <c r="G56" s="1">
        <v>46120</v>
      </c>
      <c r="H56">
        <f t="shared" si="0"/>
        <v>6482.92</v>
      </c>
      <c r="I56" t="str">
        <f t="shared" si="1"/>
        <v>April</v>
      </c>
    </row>
    <row r="57" spans="1:9" x14ac:dyDescent="0.3">
      <c r="A57" t="s">
        <v>90</v>
      </c>
      <c r="B57" t="s">
        <v>91</v>
      </c>
      <c r="C57" t="s">
        <v>13</v>
      </c>
      <c r="D57">
        <v>4</v>
      </c>
      <c r="E57">
        <v>52417.23</v>
      </c>
      <c r="F57" t="s">
        <v>22</v>
      </c>
      <c r="G57" s="1">
        <v>46096</v>
      </c>
      <c r="H57">
        <f t="shared" si="0"/>
        <v>209668.92</v>
      </c>
      <c r="I57" t="str">
        <f t="shared" si="1"/>
        <v>March</v>
      </c>
    </row>
    <row r="58" spans="1:9" x14ac:dyDescent="0.3">
      <c r="A58" t="s">
        <v>92</v>
      </c>
      <c r="B58" t="s">
        <v>28</v>
      </c>
      <c r="C58" t="s">
        <v>9</v>
      </c>
      <c r="D58">
        <v>5</v>
      </c>
      <c r="E58">
        <v>5160.84</v>
      </c>
      <c r="F58" t="s">
        <v>22</v>
      </c>
      <c r="G58" s="1">
        <v>46062</v>
      </c>
      <c r="H58">
        <f t="shared" si="0"/>
        <v>25804.2</v>
      </c>
      <c r="I58" t="str">
        <f t="shared" si="1"/>
        <v>February</v>
      </c>
    </row>
    <row r="59" spans="1:9" x14ac:dyDescent="0.3">
      <c r="A59" t="s">
        <v>93</v>
      </c>
      <c r="B59" t="s">
        <v>12</v>
      </c>
      <c r="C59" t="s">
        <v>13</v>
      </c>
      <c r="D59">
        <v>3</v>
      </c>
      <c r="E59">
        <v>1415.31</v>
      </c>
      <c r="F59" t="s">
        <v>46</v>
      </c>
      <c r="G59" s="1">
        <v>46171</v>
      </c>
      <c r="H59">
        <f t="shared" si="0"/>
        <v>4245.93</v>
      </c>
      <c r="I59" t="str">
        <f t="shared" si="1"/>
        <v>May</v>
      </c>
    </row>
    <row r="60" spans="1:9" x14ac:dyDescent="0.3">
      <c r="A60" t="s">
        <v>94</v>
      </c>
      <c r="B60" t="s">
        <v>21</v>
      </c>
      <c r="C60" t="s">
        <v>13</v>
      </c>
      <c r="D60">
        <v>5</v>
      </c>
      <c r="E60">
        <v>25541.360000000001</v>
      </c>
      <c r="F60" t="s">
        <v>32</v>
      </c>
      <c r="G60" s="1">
        <v>46037</v>
      </c>
      <c r="H60">
        <f t="shared" si="0"/>
        <v>127706.8</v>
      </c>
      <c r="I60" t="str">
        <f t="shared" si="1"/>
        <v>January</v>
      </c>
    </row>
    <row r="61" spans="1:9" x14ac:dyDescent="0.3">
      <c r="A61" t="s">
        <v>95</v>
      </c>
      <c r="B61" t="s">
        <v>91</v>
      </c>
      <c r="C61" t="s">
        <v>13</v>
      </c>
      <c r="D61">
        <v>5</v>
      </c>
      <c r="E61">
        <v>54744.67</v>
      </c>
      <c r="F61" t="s">
        <v>14</v>
      </c>
      <c r="G61" s="1">
        <v>46063</v>
      </c>
      <c r="H61">
        <f t="shared" si="0"/>
        <v>273723.34999999998</v>
      </c>
      <c r="I61" t="str">
        <f t="shared" si="1"/>
        <v>February</v>
      </c>
    </row>
    <row r="62" spans="1:9" x14ac:dyDescent="0.3">
      <c r="A62" t="s">
        <v>96</v>
      </c>
      <c r="B62" t="s">
        <v>91</v>
      </c>
      <c r="C62" t="s">
        <v>13</v>
      </c>
      <c r="D62">
        <v>5</v>
      </c>
      <c r="E62">
        <v>50381.23</v>
      </c>
      <c r="F62" t="s">
        <v>26</v>
      </c>
      <c r="G62" s="1">
        <v>46040</v>
      </c>
      <c r="H62">
        <f t="shared" si="0"/>
        <v>251906.15000000002</v>
      </c>
      <c r="I62" t="str">
        <f t="shared" si="1"/>
        <v>January</v>
      </c>
    </row>
    <row r="63" spans="1:9" x14ac:dyDescent="0.3">
      <c r="A63" t="s">
        <v>97</v>
      </c>
      <c r="B63" t="s">
        <v>16</v>
      </c>
      <c r="C63" t="s">
        <v>17</v>
      </c>
      <c r="D63">
        <v>1</v>
      </c>
      <c r="E63">
        <v>465.77</v>
      </c>
      <c r="F63" t="s">
        <v>29</v>
      </c>
      <c r="G63" s="1">
        <v>46126</v>
      </c>
      <c r="H63">
        <f t="shared" si="0"/>
        <v>465.77</v>
      </c>
      <c r="I63" t="str">
        <f t="shared" si="1"/>
        <v>April</v>
      </c>
    </row>
    <row r="64" spans="1:9" x14ac:dyDescent="0.3">
      <c r="A64" t="s">
        <v>98</v>
      </c>
      <c r="B64" t="s">
        <v>31</v>
      </c>
      <c r="C64" t="s">
        <v>13</v>
      </c>
      <c r="D64">
        <v>5</v>
      </c>
      <c r="E64">
        <v>17086.38</v>
      </c>
      <c r="F64" t="s">
        <v>50</v>
      </c>
      <c r="G64" s="1">
        <v>46033</v>
      </c>
      <c r="H64">
        <f t="shared" si="0"/>
        <v>85431.900000000009</v>
      </c>
      <c r="I64" t="str">
        <f t="shared" si="1"/>
        <v>January</v>
      </c>
    </row>
    <row r="65" spans="1:9" x14ac:dyDescent="0.3">
      <c r="A65" t="s">
        <v>99</v>
      </c>
      <c r="B65" t="s">
        <v>16</v>
      </c>
      <c r="C65" t="s">
        <v>17</v>
      </c>
      <c r="D65">
        <v>1</v>
      </c>
      <c r="E65">
        <v>442.73</v>
      </c>
      <c r="F65" t="s">
        <v>50</v>
      </c>
      <c r="G65" s="1">
        <v>46167</v>
      </c>
      <c r="H65">
        <f t="shared" si="0"/>
        <v>442.73</v>
      </c>
      <c r="I65" t="str">
        <f t="shared" si="1"/>
        <v>May</v>
      </c>
    </row>
    <row r="66" spans="1:9" x14ac:dyDescent="0.3">
      <c r="A66" t="s">
        <v>100</v>
      </c>
      <c r="B66" t="s">
        <v>80</v>
      </c>
      <c r="C66" t="s">
        <v>39</v>
      </c>
      <c r="D66">
        <v>3</v>
      </c>
      <c r="E66">
        <v>4565.1499999999996</v>
      </c>
      <c r="F66" t="s">
        <v>29</v>
      </c>
      <c r="G66" s="1">
        <v>46194</v>
      </c>
      <c r="H66">
        <f t="shared" si="0"/>
        <v>13695.449999999999</v>
      </c>
      <c r="I66" t="str">
        <f t="shared" si="1"/>
        <v>June</v>
      </c>
    </row>
    <row r="67" spans="1:9" x14ac:dyDescent="0.3">
      <c r="A67" t="s">
        <v>101</v>
      </c>
      <c r="B67" t="s">
        <v>21</v>
      </c>
      <c r="C67" t="s">
        <v>13</v>
      </c>
      <c r="D67">
        <v>3</v>
      </c>
      <c r="E67">
        <v>26536.639999999999</v>
      </c>
      <c r="F67" t="s">
        <v>48</v>
      </c>
      <c r="G67" s="1">
        <v>46056</v>
      </c>
      <c r="H67">
        <f t="shared" ref="H67:H130" si="2">D67*E67</f>
        <v>79609.919999999998</v>
      </c>
      <c r="I67" t="str">
        <f t="shared" ref="I67:I130" si="3">TEXT(G67, "mmmm")</f>
        <v>February</v>
      </c>
    </row>
    <row r="68" spans="1:9" x14ac:dyDescent="0.3">
      <c r="A68" t="s">
        <v>102</v>
      </c>
      <c r="B68" t="s">
        <v>8</v>
      </c>
      <c r="C68" t="s">
        <v>9</v>
      </c>
      <c r="D68">
        <v>3</v>
      </c>
      <c r="E68">
        <v>1784.6</v>
      </c>
      <c r="F68" t="s">
        <v>18</v>
      </c>
      <c r="G68" s="1">
        <v>46025</v>
      </c>
      <c r="H68">
        <f t="shared" si="2"/>
        <v>5353.7999999999993</v>
      </c>
      <c r="I68" t="str">
        <f t="shared" si="3"/>
        <v>January</v>
      </c>
    </row>
    <row r="69" spans="1:9" x14ac:dyDescent="0.3">
      <c r="A69" t="s">
        <v>103</v>
      </c>
      <c r="B69" t="s">
        <v>44</v>
      </c>
      <c r="C69" t="s">
        <v>39</v>
      </c>
      <c r="D69">
        <v>5</v>
      </c>
      <c r="E69">
        <v>3848.92</v>
      </c>
      <c r="F69" t="s">
        <v>18</v>
      </c>
      <c r="G69" s="1">
        <v>46041</v>
      </c>
      <c r="H69">
        <f t="shared" si="2"/>
        <v>19244.599999999999</v>
      </c>
      <c r="I69" t="str">
        <f t="shared" si="3"/>
        <v>January</v>
      </c>
    </row>
    <row r="70" spans="1:9" x14ac:dyDescent="0.3">
      <c r="A70" t="s">
        <v>104</v>
      </c>
      <c r="B70" t="s">
        <v>80</v>
      </c>
      <c r="C70" t="s">
        <v>39</v>
      </c>
      <c r="D70">
        <v>2</v>
      </c>
      <c r="E70">
        <v>4204.9399999999996</v>
      </c>
      <c r="F70" t="s">
        <v>26</v>
      </c>
      <c r="G70" s="1">
        <v>46112</v>
      </c>
      <c r="H70">
        <f t="shared" si="2"/>
        <v>8409.8799999999992</v>
      </c>
      <c r="I70" t="str">
        <f t="shared" si="3"/>
        <v>March</v>
      </c>
    </row>
    <row r="71" spans="1:9" x14ac:dyDescent="0.3">
      <c r="A71" t="s">
        <v>105</v>
      </c>
      <c r="B71" t="s">
        <v>31</v>
      </c>
      <c r="C71" t="s">
        <v>13</v>
      </c>
      <c r="D71">
        <v>2</v>
      </c>
      <c r="E71">
        <v>17530.3</v>
      </c>
      <c r="F71" t="s">
        <v>26</v>
      </c>
      <c r="G71" s="1">
        <v>46135</v>
      </c>
      <c r="H71">
        <f t="shared" si="2"/>
        <v>35060.6</v>
      </c>
      <c r="I71" t="str">
        <f t="shared" si="3"/>
        <v>April</v>
      </c>
    </row>
    <row r="72" spans="1:9" x14ac:dyDescent="0.3">
      <c r="A72" t="s">
        <v>106</v>
      </c>
      <c r="B72" t="s">
        <v>38</v>
      </c>
      <c r="C72" t="s">
        <v>39</v>
      </c>
      <c r="D72">
        <v>5</v>
      </c>
      <c r="E72">
        <v>6764.6</v>
      </c>
      <c r="F72" t="s">
        <v>50</v>
      </c>
      <c r="G72" s="1">
        <v>46190</v>
      </c>
      <c r="H72">
        <f t="shared" si="2"/>
        <v>33823</v>
      </c>
      <c r="I72" t="str">
        <f t="shared" si="3"/>
        <v>June</v>
      </c>
    </row>
    <row r="73" spans="1:9" x14ac:dyDescent="0.3">
      <c r="A73" t="s">
        <v>107</v>
      </c>
      <c r="B73" t="s">
        <v>80</v>
      </c>
      <c r="C73" t="s">
        <v>39</v>
      </c>
      <c r="D73">
        <v>1</v>
      </c>
      <c r="E73">
        <v>4341.01</v>
      </c>
      <c r="F73" t="s">
        <v>14</v>
      </c>
      <c r="G73" s="1">
        <v>46099</v>
      </c>
      <c r="H73">
        <f t="shared" si="2"/>
        <v>4341.01</v>
      </c>
      <c r="I73" t="str">
        <f t="shared" si="3"/>
        <v>March</v>
      </c>
    </row>
    <row r="74" spans="1:9" x14ac:dyDescent="0.3">
      <c r="A74" t="s">
        <v>108</v>
      </c>
      <c r="B74" t="s">
        <v>8</v>
      </c>
      <c r="C74" t="s">
        <v>9</v>
      </c>
      <c r="D74">
        <v>1</v>
      </c>
      <c r="E74">
        <v>1958.01</v>
      </c>
      <c r="F74" t="s">
        <v>26</v>
      </c>
      <c r="G74" s="1">
        <v>46090</v>
      </c>
      <c r="H74">
        <f t="shared" si="2"/>
        <v>1958.01</v>
      </c>
      <c r="I74" t="str">
        <f t="shared" si="3"/>
        <v>March</v>
      </c>
    </row>
    <row r="75" spans="1:9" x14ac:dyDescent="0.3">
      <c r="A75" t="s">
        <v>109</v>
      </c>
      <c r="B75" t="s">
        <v>31</v>
      </c>
      <c r="C75" t="s">
        <v>13</v>
      </c>
      <c r="D75">
        <v>1</v>
      </c>
      <c r="E75">
        <v>18872.7</v>
      </c>
      <c r="F75" t="s">
        <v>26</v>
      </c>
      <c r="G75" s="1">
        <v>46092</v>
      </c>
      <c r="H75">
        <f t="shared" si="2"/>
        <v>18872.7</v>
      </c>
      <c r="I75" t="str">
        <f t="shared" si="3"/>
        <v>March</v>
      </c>
    </row>
    <row r="76" spans="1:9" x14ac:dyDescent="0.3">
      <c r="A76" t="s">
        <v>110</v>
      </c>
      <c r="B76" t="s">
        <v>24</v>
      </c>
      <c r="C76" t="s">
        <v>25</v>
      </c>
      <c r="D76">
        <v>5</v>
      </c>
      <c r="E76">
        <v>752.76</v>
      </c>
      <c r="F76" t="s">
        <v>32</v>
      </c>
      <c r="G76" s="1">
        <v>46075</v>
      </c>
      <c r="H76">
        <f t="shared" si="2"/>
        <v>3763.8</v>
      </c>
      <c r="I76" t="str">
        <f t="shared" si="3"/>
        <v>February</v>
      </c>
    </row>
    <row r="77" spans="1:9" x14ac:dyDescent="0.3">
      <c r="A77" t="s">
        <v>111</v>
      </c>
      <c r="B77" t="s">
        <v>8</v>
      </c>
      <c r="C77" t="s">
        <v>9</v>
      </c>
      <c r="D77">
        <v>3</v>
      </c>
      <c r="E77">
        <v>1801.95</v>
      </c>
      <c r="F77" t="s">
        <v>10</v>
      </c>
      <c r="G77" s="1">
        <v>46036</v>
      </c>
      <c r="H77">
        <f t="shared" si="2"/>
        <v>5405.85</v>
      </c>
      <c r="I77" t="str">
        <f t="shared" si="3"/>
        <v>January</v>
      </c>
    </row>
    <row r="78" spans="1:9" x14ac:dyDescent="0.3">
      <c r="A78" t="s">
        <v>112</v>
      </c>
      <c r="B78" t="s">
        <v>31</v>
      </c>
      <c r="C78" t="s">
        <v>13</v>
      </c>
      <c r="D78">
        <v>4</v>
      </c>
      <c r="E78">
        <v>19185.650000000001</v>
      </c>
      <c r="F78" t="s">
        <v>46</v>
      </c>
      <c r="G78" s="1">
        <v>46023</v>
      </c>
      <c r="H78">
        <f t="shared" si="2"/>
        <v>76742.600000000006</v>
      </c>
      <c r="I78" t="str">
        <f t="shared" si="3"/>
        <v>January</v>
      </c>
    </row>
    <row r="79" spans="1:9" x14ac:dyDescent="0.3">
      <c r="A79" t="s">
        <v>113</v>
      </c>
      <c r="B79" t="s">
        <v>55</v>
      </c>
      <c r="C79" t="s">
        <v>25</v>
      </c>
      <c r="D79">
        <v>2</v>
      </c>
      <c r="E79">
        <v>2567.5300000000002</v>
      </c>
      <c r="F79" t="s">
        <v>10</v>
      </c>
      <c r="G79" s="1">
        <v>46064</v>
      </c>
      <c r="H79">
        <f t="shared" si="2"/>
        <v>5135.0600000000004</v>
      </c>
      <c r="I79" t="str">
        <f t="shared" si="3"/>
        <v>February</v>
      </c>
    </row>
    <row r="80" spans="1:9" x14ac:dyDescent="0.3">
      <c r="A80" t="s">
        <v>114</v>
      </c>
      <c r="B80" t="s">
        <v>21</v>
      </c>
      <c r="C80" t="s">
        <v>13</v>
      </c>
      <c r="D80">
        <v>4</v>
      </c>
      <c r="E80">
        <v>28289.41</v>
      </c>
      <c r="F80" t="s">
        <v>48</v>
      </c>
      <c r="G80" s="1">
        <v>46166</v>
      </c>
      <c r="H80">
        <f t="shared" si="2"/>
        <v>113157.64</v>
      </c>
      <c r="I80" t="str">
        <f t="shared" si="3"/>
        <v>May</v>
      </c>
    </row>
    <row r="81" spans="1:9" x14ac:dyDescent="0.3">
      <c r="A81" t="s">
        <v>115</v>
      </c>
      <c r="B81" t="s">
        <v>91</v>
      </c>
      <c r="C81" t="s">
        <v>13</v>
      </c>
      <c r="D81">
        <v>1</v>
      </c>
      <c r="E81">
        <v>50327.68</v>
      </c>
      <c r="F81" t="s">
        <v>26</v>
      </c>
      <c r="G81" s="1">
        <v>46162</v>
      </c>
      <c r="H81">
        <f t="shared" si="2"/>
        <v>50327.68</v>
      </c>
      <c r="I81" t="str">
        <f t="shared" si="3"/>
        <v>May</v>
      </c>
    </row>
    <row r="82" spans="1:9" x14ac:dyDescent="0.3">
      <c r="A82" t="s">
        <v>116</v>
      </c>
      <c r="B82" t="s">
        <v>91</v>
      </c>
      <c r="C82" t="s">
        <v>13</v>
      </c>
      <c r="D82">
        <v>3</v>
      </c>
      <c r="E82">
        <v>55907.61</v>
      </c>
      <c r="F82" t="s">
        <v>26</v>
      </c>
      <c r="G82" s="1">
        <v>46133</v>
      </c>
      <c r="H82">
        <f t="shared" si="2"/>
        <v>167722.83000000002</v>
      </c>
      <c r="I82" t="str">
        <f t="shared" si="3"/>
        <v>April</v>
      </c>
    </row>
    <row r="83" spans="1:9" x14ac:dyDescent="0.3">
      <c r="A83" t="s">
        <v>117</v>
      </c>
      <c r="B83" t="s">
        <v>72</v>
      </c>
      <c r="C83" t="s">
        <v>13</v>
      </c>
      <c r="D83">
        <v>1</v>
      </c>
      <c r="E83">
        <v>2115.63</v>
      </c>
      <c r="F83" t="s">
        <v>46</v>
      </c>
      <c r="G83" s="1">
        <v>46114</v>
      </c>
      <c r="H83">
        <f t="shared" si="2"/>
        <v>2115.63</v>
      </c>
      <c r="I83" t="str">
        <f t="shared" si="3"/>
        <v>April</v>
      </c>
    </row>
    <row r="84" spans="1:9" x14ac:dyDescent="0.3">
      <c r="A84" t="s">
        <v>118</v>
      </c>
      <c r="B84" t="s">
        <v>12</v>
      </c>
      <c r="C84" t="s">
        <v>13</v>
      </c>
      <c r="D84">
        <v>2</v>
      </c>
      <c r="E84">
        <v>1550.08</v>
      </c>
      <c r="F84" t="s">
        <v>32</v>
      </c>
      <c r="G84" s="1">
        <v>46166</v>
      </c>
      <c r="H84">
        <f t="shared" si="2"/>
        <v>3100.16</v>
      </c>
      <c r="I84" t="str">
        <f t="shared" si="3"/>
        <v>May</v>
      </c>
    </row>
    <row r="85" spans="1:9" x14ac:dyDescent="0.3">
      <c r="A85" t="s">
        <v>119</v>
      </c>
      <c r="B85" t="s">
        <v>38</v>
      </c>
      <c r="C85" t="s">
        <v>39</v>
      </c>
      <c r="D85">
        <v>4</v>
      </c>
      <c r="E85">
        <v>7115.99</v>
      </c>
      <c r="F85" t="s">
        <v>26</v>
      </c>
      <c r="G85" s="1">
        <v>46083</v>
      </c>
      <c r="H85">
        <f t="shared" si="2"/>
        <v>28463.96</v>
      </c>
      <c r="I85" t="str">
        <f t="shared" si="3"/>
        <v>March</v>
      </c>
    </row>
    <row r="86" spans="1:9" x14ac:dyDescent="0.3">
      <c r="A86" t="s">
        <v>120</v>
      </c>
      <c r="B86" t="s">
        <v>38</v>
      </c>
      <c r="C86" t="s">
        <v>39</v>
      </c>
      <c r="D86">
        <v>2</v>
      </c>
      <c r="E86">
        <v>7119.07</v>
      </c>
      <c r="F86" t="s">
        <v>26</v>
      </c>
      <c r="G86" s="1">
        <v>46128</v>
      </c>
      <c r="H86">
        <f t="shared" si="2"/>
        <v>14238.14</v>
      </c>
      <c r="I86" t="str">
        <f t="shared" si="3"/>
        <v>April</v>
      </c>
    </row>
    <row r="87" spans="1:9" x14ac:dyDescent="0.3">
      <c r="A87" t="s">
        <v>121</v>
      </c>
      <c r="B87" t="s">
        <v>91</v>
      </c>
      <c r="C87" t="s">
        <v>13</v>
      </c>
      <c r="D87">
        <v>2</v>
      </c>
      <c r="E87">
        <v>57602.21</v>
      </c>
      <c r="F87" t="s">
        <v>32</v>
      </c>
      <c r="G87" s="1">
        <v>46128</v>
      </c>
      <c r="H87">
        <f t="shared" si="2"/>
        <v>115204.42</v>
      </c>
      <c r="I87" t="str">
        <f t="shared" si="3"/>
        <v>April</v>
      </c>
    </row>
    <row r="88" spans="1:9" x14ac:dyDescent="0.3">
      <c r="A88" t="s">
        <v>122</v>
      </c>
      <c r="B88" t="s">
        <v>62</v>
      </c>
      <c r="C88" t="s">
        <v>25</v>
      </c>
      <c r="D88">
        <v>2</v>
      </c>
      <c r="E88">
        <v>1905.77</v>
      </c>
      <c r="F88" t="s">
        <v>18</v>
      </c>
      <c r="G88" s="1">
        <v>46120</v>
      </c>
      <c r="H88">
        <f t="shared" si="2"/>
        <v>3811.54</v>
      </c>
      <c r="I88" t="str">
        <f t="shared" si="3"/>
        <v>April</v>
      </c>
    </row>
    <row r="89" spans="1:9" x14ac:dyDescent="0.3">
      <c r="A89" t="s">
        <v>123</v>
      </c>
      <c r="B89" t="s">
        <v>38</v>
      </c>
      <c r="C89" t="s">
        <v>39</v>
      </c>
      <c r="D89">
        <v>1</v>
      </c>
      <c r="E89">
        <v>6966.17</v>
      </c>
      <c r="F89" t="s">
        <v>29</v>
      </c>
      <c r="G89" s="1">
        <v>46074</v>
      </c>
      <c r="H89">
        <f t="shared" si="2"/>
        <v>6966.17</v>
      </c>
      <c r="I89" t="str">
        <f t="shared" si="3"/>
        <v>February</v>
      </c>
    </row>
    <row r="90" spans="1:9" x14ac:dyDescent="0.3">
      <c r="A90" t="s">
        <v>124</v>
      </c>
      <c r="B90" t="s">
        <v>38</v>
      </c>
      <c r="C90" t="s">
        <v>39</v>
      </c>
      <c r="D90">
        <v>4</v>
      </c>
      <c r="E90">
        <v>6304.56</v>
      </c>
      <c r="F90" t="s">
        <v>29</v>
      </c>
      <c r="G90" s="1">
        <v>46080</v>
      </c>
      <c r="H90">
        <f t="shared" si="2"/>
        <v>25218.240000000002</v>
      </c>
      <c r="I90" t="str">
        <f t="shared" si="3"/>
        <v>February</v>
      </c>
    </row>
    <row r="91" spans="1:9" x14ac:dyDescent="0.3">
      <c r="A91" t="s">
        <v>125</v>
      </c>
      <c r="B91" t="s">
        <v>91</v>
      </c>
      <c r="C91" t="s">
        <v>13</v>
      </c>
      <c r="D91">
        <v>2</v>
      </c>
      <c r="E91">
        <v>53883.13</v>
      </c>
      <c r="F91" t="s">
        <v>10</v>
      </c>
      <c r="G91" s="1">
        <v>46040</v>
      </c>
      <c r="H91">
        <f t="shared" si="2"/>
        <v>107766.26</v>
      </c>
      <c r="I91" t="str">
        <f t="shared" si="3"/>
        <v>January</v>
      </c>
    </row>
    <row r="92" spans="1:9" x14ac:dyDescent="0.3">
      <c r="A92" t="s">
        <v>126</v>
      </c>
      <c r="B92" t="s">
        <v>62</v>
      </c>
      <c r="C92" t="s">
        <v>25</v>
      </c>
      <c r="D92">
        <v>3</v>
      </c>
      <c r="E92">
        <v>1939.49</v>
      </c>
      <c r="F92" t="s">
        <v>14</v>
      </c>
      <c r="G92" s="1">
        <v>46125</v>
      </c>
      <c r="H92">
        <f t="shared" si="2"/>
        <v>5818.47</v>
      </c>
      <c r="I92" t="str">
        <f t="shared" si="3"/>
        <v>April</v>
      </c>
    </row>
    <row r="93" spans="1:9" x14ac:dyDescent="0.3">
      <c r="A93" t="s">
        <v>127</v>
      </c>
      <c r="B93" t="s">
        <v>8</v>
      </c>
      <c r="C93" t="s">
        <v>9</v>
      </c>
      <c r="D93">
        <v>5</v>
      </c>
      <c r="E93">
        <v>1739.21</v>
      </c>
      <c r="F93" t="s">
        <v>46</v>
      </c>
      <c r="G93" s="1">
        <v>46052</v>
      </c>
      <c r="H93">
        <f t="shared" si="2"/>
        <v>8696.0499999999993</v>
      </c>
      <c r="I93" t="str">
        <f t="shared" si="3"/>
        <v>January</v>
      </c>
    </row>
    <row r="94" spans="1:9" x14ac:dyDescent="0.3">
      <c r="A94" t="s">
        <v>128</v>
      </c>
      <c r="B94" t="s">
        <v>24</v>
      </c>
      <c r="C94" t="s">
        <v>25</v>
      </c>
      <c r="D94">
        <v>2</v>
      </c>
      <c r="E94">
        <v>811.88</v>
      </c>
      <c r="F94" t="s">
        <v>10</v>
      </c>
      <c r="G94" s="1">
        <v>46032</v>
      </c>
      <c r="H94">
        <f t="shared" si="2"/>
        <v>1623.76</v>
      </c>
      <c r="I94" t="str">
        <f t="shared" si="3"/>
        <v>January</v>
      </c>
    </row>
    <row r="95" spans="1:9" x14ac:dyDescent="0.3">
      <c r="A95" t="s">
        <v>129</v>
      </c>
      <c r="B95" t="s">
        <v>31</v>
      </c>
      <c r="C95" t="s">
        <v>13</v>
      </c>
      <c r="D95">
        <v>5</v>
      </c>
      <c r="E95">
        <v>17764.43</v>
      </c>
      <c r="F95" t="s">
        <v>32</v>
      </c>
      <c r="G95" s="1">
        <v>46134</v>
      </c>
      <c r="H95">
        <f t="shared" si="2"/>
        <v>88822.15</v>
      </c>
      <c r="I95" t="str">
        <f t="shared" si="3"/>
        <v>April</v>
      </c>
    </row>
    <row r="96" spans="1:9" x14ac:dyDescent="0.3">
      <c r="A96" t="s">
        <v>130</v>
      </c>
      <c r="B96" t="s">
        <v>16</v>
      </c>
      <c r="C96" t="s">
        <v>17</v>
      </c>
      <c r="D96">
        <v>5</v>
      </c>
      <c r="E96">
        <v>415.41</v>
      </c>
      <c r="F96" t="s">
        <v>50</v>
      </c>
      <c r="G96" s="1">
        <v>46071</v>
      </c>
      <c r="H96">
        <f t="shared" si="2"/>
        <v>2077.0500000000002</v>
      </c>
      <c r="I96" t="str">
        <f t="shared" si="3"/>
        <v>February</v>
      </c>
    </row>
    <row r="97" spans="1:9" x14ac:dyDescent="0.3">
      <c r="A97" t="s">
        <v>131</v>
      </c>
      <c r="B97" t="s">
        <v>24</v>
      </c>
      <c r="C97" t="s">
        <v>25</v>
      </c>
      <c r="D97">
        <v>1</v>
      </c>
      <c r="E97">
        <v>832.36</v>
      </c>
      <c r="F97" t="s">
        <v>46</v>
      </c>
      <c r="G97" s="1">
        <v>46156</v>
      </c>
      <c r="H97">
        <f t="shared" si="2"/>
        <v>832.36</v>
      </c>
      <c r="I97" t="str">
        <f t="shared" si="3"/>
        <v>May</v>
      </c>
    </row>
    <row r="98" spans="1:9" x14ac:dyDescent="0.3">
      <c r="A98" t="s">
        <v>132</v>
      </c>
      <c r="B98" t="s">
        <v>62</v>
      </c>
      <c r="C98" t="s">
        <v>25</v>
      </c>
      <c r="D98">
        <v>5</v>
      </c>
      <c r="E98">
        <v>2073.71</v>
      </c>
      <c r="F98" t="s">
        <v>29</v>
      </c>
      <c r="G98" s="1">
        <v>46116</v>
      </c>
      <c r="H98">
        <f t="shared" si="2"/>
        <v>10368.549999999999</v>
      </c>
      <c r="I98" t="str">
        <f t="shared" si="3"/>
        <v>April</v>
      </c>
    </row>
    <row r="99" spans="1:9" x14ac:dyDescent="0.3">
      <c r="A99" t="s">
        <v>133</v>
      </c>
      <c r="B99" t="s">
        <v>28</v>
      </c>
      <c r="C99" t="s">
        <v>9</v>
      </c>
      <c r="D99">
        <v>1</v>
      </c>
      <c r="E99">
        <v>5447.78</v>
      </c>
      <c r="F99" t="s">
        <v>32</v>
      </c>
      <c r="G99" s="1">
        <v>46182</v>
      </c>
      <c r="H99">
        <f t="shared" si="2"/>
        <v>5447.78</v>
      </c>
      <c r="I99" t="str">
        <f t="shared" si="3"/>
        <v>June</v>
      </c>
    </row>
    <row r="100" spans="1:9" x14ac:dyDescent="0.3">
      <c r="A100" t="s">
        <v>134</v>
      </c>
      <c r="B100" t="s">
        <v>55</v>
      </c>
      <c r="C100" t="s">
        <v>25</v>
      </c>
      <c r="D100">
        <v>1</v>
      </c>
      <c r="E100">
        <v>2608.83</v>
      </c>
      <c r="F100" t="s">
        <v>10</v>
      </c>
      <c r="G100" s="1">
        <v>46152</v>
      </c>
      <c r="H100">
        <f t="shared" si="2"/>
        <v>2608.83</v>
      </c>
      <c r="I100" t="str">
        <f t="shared" si="3"/>
        <v>May</v>
      </c>
    </row>
    <row r="101" spans="1:9" x14ac:dyDescent="0.3">
      <c r="A101" t="s">
        <v>135</v>
      </c>
      <c r="B101" t="s">
        <v>24</v>
      </c>
      <c r="C101" t="s">
        <v>25</v>
      </c>
      <c r="D101">
        <v>4</v>
      </c>
      <c r="E101">
        <v>771.22</v>
      </c>
      <c r="F101" t="s">
        <v>10</v>
      </c>
      <c r="G101" s="1">
        <v>46164</v>
      </c>
      <c r="H101">
        <f t="shared" si="2"/>
        <v>3084.88</v>
      </c>
      <c r="I101" t="str">
        <f t="shared" si="3"/>
        <v>May</v>
      </c>
    </row>
    <row r="102" spans="1:9" x14ac:dyDescent="0.3">
      <c r="A102" t="s">
        <v>136</v>
      </c>
      <c r="B102" t="s">
        <v>72</v>
      </c>
      <c r="C102" t="s">
        <v>13</v>
      </c>
      <c r="D102">
        <v>2</v>
      </c>
      <c r="E102">
        <v>2165</v>
      </c>
      <c r="F102" t="s">
        <v>48</v>
      </c>
      <c r="G102" s="1">
        <v>46196</v>
      </c>
      <c r="H102">
        <f t="shared" si="2"/>
        <v>4330</v>
      </c>
      <c r="I102" t="str">
        <f t="shared" si="3"/>
        <v>June</v>
      </c>
    </row>
    <row r="103" spans="1:9" x14ac:dyDescent="0.3">
      <c r="A103" t="s">
        <v>137</v>
      </c>
      <c r="B103" t="s">
        <v>21</v>
      </c>
      <c r="C103" t="s">
        <v>13</v>
      </c>
      <c r="D103">
        <v>2</v>
      </c>
      <c r="E103">
        <v>28646.880000000001</v>
      </c>
      <c r="F103" t="s">
        <v>10</v>
      </c>
      <c r="G103" s="1">
        <v>46126</v>
      </c>
      <c r="H103">
        <f t="shared" si="2"/>
        <v>57293.760000000002</v>
      </c>
      <c r="I103" t="str">
        <f t="shared" si="3"/>
        <v>April</v>
      </c>
    </row>
    <row r="104" spans="1:9" x14ac:dyDescent="0.3">
      <c r="A104" t="s">
        <v>138</v>
      </c>
      <c r="B104" t="s">
        <v>80</v>
      </c>
      <c r="C104" t="s">
        <v>39</v>
      </c>
      <c r="D104">
        <v>1</v>
      </c>
      <c r="E104">
        <v>4035.25</v>
      </c>
      <c r="F104" t="s">
        <v>29</v>
      </c>
      <c r="G104" s="1">
        <v>46133</v>
      </c>
      <c r="H104">
        <f t="shared" si="2"/>
        <v>4035.25</v>
      </c>
      <c r="I104" t="str">
        <f t="shared" si="3"/>
        <v>April</v>
      </c>
    </row>
    <row r="105" spans="1:9" x14ac:dyDescent="0.3">
      <c r="A105" t="s">
        <v>139</v>
      </c>
      <c r="B105" t="s">
        <v>62</v>
      </c>
      <c r="C105" t="s">
        <v>25</v>
      </c>
      <c r="D105">
        <v>5</v>
      </c>
      <c r="E105">
        <v>2041.64</v>
      </c>
      <c r="F105" t="s">
        <v>32</v>
      </c>
      <c r="G105" s="1">
        <v>46142</v>
      </c>
      <c r="H105">
        <f t="shared" si="2"/>
        <v>10208.200000000001</v>
      </c>
      <c r="I105" t="str">
        <f t="shared" si="3"/>
        <v>April</v>
      </c>
    </row>
    <row r="106" spans="1:9" x14ac:dyDescent="0.3">
      <c r="A106" t="s">
        <v>140</v>
      </c>
      <c r="B106" t="s">
        <v>44</v>
      </c>
      <c r="C106" t="s">
        <v>39</v>
      </c>
      <c r="D106">
        <v>4</v>
      </c>
      <c r="E106">
        <v>3622.94</v>
      </c>
      <c r="F106" t="s">
        <v>14</v>
      </c>
      <c r="G106" s="1">
        <v>46144</v>
      </c>
      <c r="H106">
        <f t="shared" si="2"/>
        <v>14491.76</v>
      </c>
      <c r="I106" t="str">
        <f t="shared" si="3"/>
        <v>May</v>
      </c>
    </row>
    <row r="107" spans="1:9" x14ac:dyDescent="0.3">
      <c r="A107" t="s">
        <v>141</v>
      </c>
      <c r="B107" t="s">
        <v>62</v>
      </c>
      <c r="C107" t="s">
        <v>25</v>
      </c>
      <c r="D107">
        <v>2</v>
      </c>
      <c r="E107">
        <v>2062.5100000000002</v>
      </c>
      <c r="F107" t="s">
        <v>10</v>
      </c>
      <c r="G107" s="1">
        <v>46154</v>
      </c>
      <c r="H107">
        <f t="shared" si="2"/>
        <v>4125.0200000000004</v>
      </c>
      <c r="I107" t="str">
        <f t="shared" si="3"/>
        <v>May</v>
      </c>
    </row>
    <row r="108" spans="1:9" x14ac:dyDescent="0.3">
      <c r="A108" t="s">
        <v>142</v>
      </c>
      <c r="B108" t="s">
        <v>8</v>
      </c>
      <c r="C108" t="s">
        <v>9</v>
      </c>
      <c r="D108">
        <v>5</v>
      </c>
      <c r="E108">
        <v>1740.67</v>
      </c>
      <c r="F108" t="s">
        <v>29</v>
      </c>
      <c r="G108" s="1">
        <v>46195</v>
      </c>
      <c r="H108">
        <f t="shared" si="2"/>
        <v>8703.35</v>
      </c>
      <c r="I108" t="str">
        <f t="shared" si="3"/>
        <v>June</v>
      </c>
    </row>
    <row r="109" spans="1:9" x14ac:dyDescent="0.3">
      <c r="A109" t="s">
        <v>143</v>
      </c>
      <c r="B109" t="s">
        <v>24</v>
      </c>
      <c r="C109" t="s">
        <v>25</v>
      </c>
      <c r="D109">
        <v>2</v>
      </c>
      <c r="E109">
        <v>847.99</v>
      </c>
      <c r="F109" t="s">
        <v>26</v>
      </c>
      <c r="G109" s="1">
        <v>46029</v>
      </c>
      <c r="H109">
        <f t="shared" si="2"/>
        <v>1695.98</v>
      </c>
      <c r="I109" t="str">
        <f t="shared" si="3"/>
        <v>January</v>
      </c>
    </row>
    <row r="110" spans="1:9" x14ac:dyDescent="0.3">
      <c r="A110" t="s">
        <v>144</v>
      </c>
      <c r="B110" t="s">
        <v>91</v>
      </c>
      <c r="C110" t="s">
        <v>13</v>
      </c>
      <c r="D110">
        <v>2</v>
      </c>
      <c r="E110">
        <v>60323.3</v>
      </c>
      <c r="F110" t="s">
        <v>50</v>
      </c>
      <c r="G110" s="1">
        <v>46041</v>
      </c>
      <c r="H110">
        <f t="shared" si="2"/>
        <v>120646.6</v>
      </c>
      <c r="I110" t="str">
        <f t="shared" si="3"/>
        <v>January</v>
      </c>
    </row>
    <row r="111" spans="1:9" x14ac:dyDescent="0.3">
      <c r="A111" t="s">
        <v>145</v>
      </c>
      <c r="B111" t="s">
        <v>44</v>
      </c>
      <c r="C111" t="s">
        <v>39</v>
      </c>
      <c r="D111">
        <v>4</v>
      </c>
      <c r="E111">
        <v>3770.3</v>
      </c>
      <c r="F111" t="s">
        <v>50</v>
      </c>
      <c r="G111" s="1">
        <v>46072</v>
      </c>
      <c r="H111">
        <f t="shared" si="2"/>
        <v>15081.2</v>
      </c>
      <c r="I111" t="str">
        <f t="shared" si="3"/>
        <v>February</v>
      </c>
    </row>
    <row r="112" spans="1:9" x14ac:dyDescent="0.3">
      <c r="A112" t="s">
        <v>146</v>
      </c>
      <c r="B112" t="s">
        <v>21</v>
      </c>
      <c r="C112" t="s">
        <v>13</v>
      </c>
      <c r="D112">
        <v>4</v>
      </c>
      <c r="E112">
        <v>27968.51</v>
      </c>
      <c r="F112" t="s">
        <v>29</v>
      </c>
      <c r="G112" s="1">
        <v>46060</v>
      </c>
      <c r="H112">
        <f t="shared" si="2"/>
        <v>111874.04</v>
      </c>
      <c r="I112" t="str">
        <f t="shared" si="3"/>
        <v>February</v>
      </c>
    </row>
    <row r="113" spans="1:9" x14ac:dyDescent="0.3">
      <c r="A113" t="s">
        <v>147</v>
      </c>
      <c r="B113" t="s">
        <v>8</v>
      </c>
      <c r="C113" t="s">
        <v>9</v>
      </c>
      <c r="D113">
        <v>1</v>
      </c>
      <c r="E113">
        <v>1941.36</v>
      </c>
      <c r="F113" t="s">
        <v>18</v>
      </c>
      <c r="G113" s="1">
        <v>46131</v>
      </c>
      <c r="H113">
        <f t="shared" si="2"/>
        <v>1941.36</v>
      </c>
      <c r="I113" t="str">
        <f t="shared" si="3"/>
        <v>April</v>
      </c>
    </row>
    <row r="114" spans="1:9" x14ac:dyDescent="0.3">
      <c r="A114" t="s">
        <v>148</v>
      </c>
      <c r="B114" t="s">
        <v>12</v>
      </c>
      <c r="C114" t="s">
        <v>13</v>
      </c>
      <c r="D114">
        <v>2</v>
      </c>
      <c r="E114">
        <v>1591.23</v>
      </c>
      <c r="F114" t="s">
        <v>14</v>
      </c>
      <c r="G114" s="1">
        <v>46141</v>
      </c>
      <c r="H114">
        <f t="shared" si="2"/>
        <v>3182.46</v>
      </c>
      <c r="I114" t="str">
        <f t="shared" si="3"/>
        <v>April</v>
      </c>
    </row>
    <row r="115" spans="1:9" x14ac:dyDescent="0.3">
      <c r="A115" t="s">
        <v>149</v>
      </c>
      <c r="B115" t="s">
        <v>91</v>
      </c>
      <c r="C115" t="s">
        <v>13</v>
      </c>
      <c r="D115">
        <v>5</v>
      </c>
      <c r="E115">
        <v>52241.18</v>
      </c>
      <c r="F115" t="s">
        <v>18</v>
      </c>
      <c r="G115" s="1">
        <v>46139</v>
      </c>
      <c r="H115">
        <f t="shared" si="2"/>
        <v>261205.9</v>
      </c>
      <c r="I115" t="str">
        <f t="shared" si="3"/>
        <v>April</v>
      </c>
    </row>
    <row r="116" spans="1:9" x14ac:dyDescent="0.3">
      <c r="A116" t="s">
        <v>150</v>
      </c>
      <c r="B116" t="s">
        <v>72</v>
      </c>
      <c r="C116" t="s">
        <v>13</v>
      </c>
      <c r="D116">
        <v>4</v>
      </c>
      <c r="E116">
        <v>2273.73</v>
      </c>
      <c r="F116" t="s">
        <v>14</v>
      </c>
      <c r="G116" s="1">
        <v>46175</v>
      </c>
      <c r="H116">
        <f t="shared" si="2"/>
        <v>9094.92</v>
      </c>
      <c r="I116" t="str">
        <f t="shared" si="3"/>
        <v>June</v>
      </c>
    </row>
    <row r="117" spans="1:9" x14ac:dyDescent="0.3">
      <c r="A117" t="s">
        <v>151</v>
      </c>
      <c r="B117" t="s">
        <v>55</v>
      </c>
      <c r="C117" t="s">
        <v>25</v>
      </c>
      <c r="D117">
        <v>4</v>
      </c>
      <c r="E117">
        <v>2555.3000000000002</v>
      </c>
      <c r="F117" t="s">
        <v>14</v>
      </c>
      <c r="G117" s="1">
        <v>46132</v>
      </c>
      <c r="H117">
        <f t="shared" si="2"/>
        <v>10221.200000000001</v>
      </c>
      <c r="I117" t="str">
        <f t="shared" si="3"/>
        <v>April</v>
      </c>
    </row>
    <row r="118" spans="1:9" x14ac:dyDescent="0.3">
      <c r="A118" t="s">
        <v>152</v>
      </c>
      <c r="B118" t="s">
        <v>38</v>
      </c>
      <c r="C118" t="s">
        <v>39</v>
      </c>
      <c r="D118">
        <v>5</v>
      </c>
      <c r="E118">
        <v>6429.69</v>
      </c>
      <c r="F118" t="s">
        <v>26</v>
      </c>
      <c r="G118" s="1">
        <v>46144</v>
      </c>
      <c r="H118">
        <f t="shared" si="2"/>
        <v>32148.449999999997</v>
      </c>
      <c r="I118" t="str">
        <f t="shared" si="3"/>
        <v>May</v>
      </c>
    </row>
    <row r="119" spans="1:9" x14ac:dyDescent="0.3">
      <c r="A119" t="s">
        <v>153</v>
      </c>
      <c r="B119" t="s">
        <v>44</v>
      </c>
      <c r="C119" t="s">
        <v>39</v>
      </c>
      <c r="D119">
        <v>3</v>
      </c>
      <c r="E119">
        <v>3676.24</v>
      </c>
      <c r="F119" t="s">
        <v>10</v>
      </c>
      <c r="G119" s="1">
        <v>46156</v>
      </c>
      <c r="H119">
        <f t="shared" si="2"/>
        <v>11028.72</v>
      </c>
      <c r="I119" t="str">
        <f t="shared" si="3"/>
        <v>May</v>
      </c>
    </row>
    <row r="120" spans="1:9" x14ac:dyDescent="0.3">
      <c r="A120" t="s">
        <v>154</v>
      </c>
      <c r="B120" t="s">
        <v>44</v>
      </c>
      <c r="C120" t="s">
        <v>39</v>
      </c>
      <c r="D120">
        <v>2</v>
      </c>
      <c r="E120">
        <v>3342.22</v>
      </c>
      <c r="F120" t="s">
        <v>18</v>
      </c>
      <c r="G120" s="1">
        <v>46096</v>
      </c>
      <c r="H120">
        <f t="shared" si="2"/>
        <v>6684.44</v>
      </c>
      <c r="I120" t="str">
        <f t="shared" si="3"/>
        <v>March</v>
      </c>
    </row>
    <row r="121" spans="1:9" x14ac:dyDescent="0.3">
      <c r="A121" t="s">
        <v>155</v>
      </c>
      <c r="B121" t="s">
        <v>12</v>
      </c>
      <c r="C121" t="s">
        <v>13</v>
      </c>
      <c r="D121">
        <v>3</v>
      </c>
      <c r="E121">
        <v>1450.75</v>
      </c>
      <c r="F121" t="s">
        <v>14</v>
      </c>
      <c r="G121" s="1">
        <v>46043</v>
      </c>
      <c r="H121">
        <f t="shared" si="2"/>
        <v>4352.25</v>
      </c>
      <c r="I121" t="str">
        <f t="shared" si="3"/>
        <v>January</v>
      </c>
    </row>
    <row r="122" spans="1:9" x14ac:dyDescent="0.3">
      <c r="A122" t="s">
        <v>156</v>
      </c>
      <c r="B122" t="s">
        <v>72</v>
      </c>
      <c r="C122" t="s">
        <v>13</v>
      </c>
      <c r="D122">
        <v>2</v>
      </c>
      <c r="E122">
        <v>2081.7600000000002</v>
      </c>
      <c r="F122" t="s">
        <v>26</v>
      </c>
      <c r="G122" s="1">
        <v>46077</v>
      </c>
      <c r="H122">
        <f t="shared" si="2"/>
        <v>4163.5200000000004</v>
      </c>
      <c r="I122" t="str">
        <f t="shared" si="3"/>
        <v>February</v>
      </c>
    </row>
    <row r="123" spans="1:9" x14ac:dyDescent="0.3">
      <c r="A123" t="s">
        <v>157</v>
      </c>
      <c r="B123" t="s">
        <v>31</v>
      </c>
      <c r="C123" t="s">
        <v>13</v>
      </c>
      <c r="D123">
        <v>4</v>
      </c>
      <c r="E123">
        <v>17667.36</v>
      </c>
      <c r="F123" t="s">
        <v>14</v>
      </c>
      <c r="G123" s="1">
        <v>46142</v>
      </c>
      <c r="H123">
        <f t="shared" si="2"/>
        <v>70669.440000000002</v>
      </c>
      <c r="I123" t="str">
        <f t="shared" si="3"/>
        <v>April</v>
      </c>
    </row>
    <row r="124" spans="1:9" x14ac:dyDescent="0.3">
      <c r="A124" t="s">
        <v>158</v>
      </c>
      <c r="B124" t="s">
        <v>28</v>
      </c>
      <c r="C124" t="s">
        <v>9</v>
      </c>
      <c r="D124">
        <v>1</v>
      </c>
      <c r="E124">
        <v>4705.8900000000003</v>
      </c>
      <c r="F124" t="s">
        <v>48</v>
      </c>
      <c r="G124" s="1">
        <v>46122</v>
      </c>
      <c r="H124">
        <f t="shared" si="2"/>
        <v>4705.8900000000003</v>
      </c>
      <c r="I124" t="str">
        <f t="shared" si="3"/>
        <v>April</v>
      </c>
    </row>
    <row r="125" spans="1:9" x14ac:dyDescent="0.3">
      <c r="A125" t="s">
        <v>159</v>
      </c>
      <c r="B125" t="s">
        <v>62</v>
      </c>
      <c r="C125" t="s">
        <v>25</v>
      </c>
      <c r="D125">
        <v>5</v>
      </c>
      <c r="E125">
        <v>2177.34</v>
      </c>
      <c r="F125" t="s">
        <v>46</v>
      </c>
      <c r="G125" s="1">
        <v>46170</v>
      </c>
      <c r="H125">
        <f t="shared" si="2"/>
        <v>10886.7</v>
      </c>
      <c r="I125" t="str">
        <f t="shared" si="3"/>
        <v>May</v>
      </c>
    </row>
    <row r="126" spans="1:9" x14ac:dyDescent="0.3">
      <c r="A126" t="s">
        <v>160</v>
      </c>
      <c r="B126" t="s">
        <v>28</v>
      </c>
      <c r="C126" t="s">
        <v>9</v>
      </c>
      <c r="D126">
        <v>4</v>
      </c>
      <c r="E126">
        <v>4504.99</v>
      </c>
      <c r="F126" t="s">
        <v>32</v>
      </c>
      <c r="G126" s="1">
        <v>46099</v>
      </c>
      <c r="H126">
        <f t="shared" si="2"/>
        <v>18019.96</v>
      </c>
      <c r="I126" t="str">
        <f t="shared" si="3"/>
        <v>March</v>
      </c>
    </row>
    <row r="127" spans="1:9" x14ac:dyDescent="0.3">
      <c r="A127" t="s">
        <v>161</v>
      </c>
      <c r="B127" t="s">
        <v>62</v>
      </c>
      <c r="C127" t="s">
        <v>25</v>
      </c>
      <c r="D127">
        <v>4</v>
      </c>
      <c r="E127">
        <v>2140.31</v>
      </c>
      <c r="F127" t="s">
        <v>48</v>
      </c>
      <c r="G127" s="1">
        <v>46160</v>
      </c>
      <c r="H127">
        <f t="shared" si="2"/>
        <v>8561.24</v>
      </c>
      <c r="I127" t="str">
        <f t="shared" si="3"/>
        <v>May</v>
      </c>
    </row>
    <row r="128" spans="1:9" x14ac:dyDescent="0.3">
      <c r="A128" t="s">
        <v>162</v>
      </c>
      <c r="B128" t="s">
        <v>21</v>
      </c>
      <c r="C128" t="s">
        <v>13</v>
      </c>
      <c r="D128">
        <v>5</v>
      </c>
      <c r="E128">
        <v>29679.26</v>
      </c>
      <c r="F128" t="s">
        <v>29</v>
      </c>
      <c r="G128" s="1">
        <v>46147</v>
      </c>
      <c r="H128">
        <f t="shared" si="2"/>
        <v>148396.29999999999</v>
      </c>
      <c r="I128" t="str">
        <f t="shared" si="3"/>
        <v>May</v>
      </c>
    </row>
    <row r="129" spans="1:9" x14ac:dyDescent="0.3">
      <c r="A129" t="s">
        <v>163</v>
      </c>
      <c r="B129" t="s">
        <v>12</v>
      </c>
      <c r="C129" t="s">
        <v>13</v>
      </c>
      <c r="D129">
        <v>3</v>
      </c>
      <c r="E129">
        <v>1480.75</v>
      </c>
      <c r="F129" t="s">
        <v>46</v>
      </c>
      <c r="G129" s="1">
        <v>46122</v>
      </c>
      <c r="H129">
        <f t="shared" si="2"/>
        <v>4442.25</v>
      </c>
      <c r="I129" t="str">
        <f t="shared" si="3"/>
        <v>April</v>
      </c>
    </row>
    <row r="130" spans="1:9" x14ac:dyDescent="0.3">
      <c r="A130" t="s">
        <v>164</v>
      </c>
      <c r="B130" t="s">
        <v>55</v>
      </c>
      <c r="C130" t="s">
        <v>25</v>
      </c>
      <c r="D130">
        <v>4</v>
      </c>
      <c r="E130">
        <v>2611.0500000000002</v>
      </c>
      <c r="F130" t="s">
        <v>22</v>
      </c>
      <c r="G130" s="1">
        <v>46055</v>
      </c>
      <c r="H130">
        <f t="shared" si="2"/>
        <v>10444.200000000001</v>
      </c>
      <c r="I130" t="str">
        <f t="shared" si="3"/>
        <v>February</v>
      </c>
    </row>
    <row r="131" spans="1:9" x14ac:dyDescent="0.3">
      <c r="A131" t="s">
        <v>165</v>
      </c>
      <c r="B131" t="s">
        <v>16</v>
      </c>
      <c r="C131" t="s">
        <v>17</v>
      </c>
      <c r="D131">
        <v>5</v>
      </c>
      <c r="E131">
        <v>407.43</v>
      </c>
      <c r="F131" t="s">
        <v>48</v>
      </c>
      <c r="G131" s="1">
        <v>46174</v>
      </c>
      <c r="H131">
        <f t="shared" ref="H131:H194" si="4">D131*E131</f>
        <v>2037.15</v>
      </c>
      <c r="I131" t="str">
        <f t="shared" ref="I131:I194" si="5">TEXT(G131, "mmmm")</f>
        <v>June</v>
      </c>
    </row>
    <row r="132" spans="1:9" x14ac:dyDescent="0.3">
      <c r="A132" t="s">
        <v>166</v>
      </c>
      <c r="B132" t="s">
        <v>16</v>
      </c>
      <c r="C132" t="s">
        <v>17</v>
      </c>
      <c r="D132">
        <v>1</v>
      </c>
      <c r="E132">
        <v>412.56</v>
      </c>
      <c r="F132" t="s">
        <v>48</v>
      </c>
      <c r="G132" s="1">
        <v>46057</v>
      </c>
      <c r="H132">
        <f t="shared" si="4"/>
        <v>412.56</v>
      </c>
      <c r="I132" t="str">
        <f t="shared" si="5"/>
        <v>February</v>
      </c>
    </row>
    <row r="133" spans="1:9" x14ac:dyDescent="0.3">
      <c r="A133" t="s">
        <v>167</v>
      </c>
      <c r="B133" t="s">
        <v>38</v>
      </c>
      <c r="C133" t="s">
        <v>39</v>
      </c>
      <c r="D133">
        <v>4</v>
      </c>
      <c r="E133">
        <v>6086.25</v>
      </c>
      <c r="F133" t="s">
        <v>10</v>
      </c>
      <c r="G133" s="1">
        <v>46120</v>
      </c>
      <c r="H133">
        <f t="shared" si="4"/>
        <v>24345</v>
      </c>
      <c r="I133" t="str">
        <f t="shared" si="5"/>
        <v>April</v>
      </c>
    </row>
    <row r="134" spans="1:9" x14ac:dyDescent="0.3">
      <c r="A134" t="s">
        <v>168</v>
      </c>
      <c r="B134" t="s">
        <v>55</v>
      </c>
      <c r="C134" t="s">
        <v>25</v>
      </c>
      <c r="D134">
        <v>2</v>
      </c>
      <c r="E134">
        <v>2476.36</v>
      </c>
      <c r="F134" t="s">
        <v>32</v>
      </c>
      <c r="G134" s="1">
        <v>46120</v>
      </c>
      <c r="H134">
        <f t="shared" si="4"/>
        <v>4952.72</v>
      </c>
      <c r="I134" t="str">
        <f t="shared" si="5"/>
        <v>April</v>
      </c>
    </row>
    <row r="135" spans="1:9" x14ac:dyDescent="0.3">
      <c r="A135" t="s">
        <v>169</v>
      </c>
      <c r="B135" t="s">
        <v>24</v>
      </c>
      <c r="C135" t="s">
        <v>25</v>
      </c>
      <c r="D135">
        <v>4</v>
      </c>
      <c r="E135">
        <v>759.41</v>
      </c>
      <c r="F135" t="s">
        <v>18</v>
      </c>
      <c r="G135" s="1">
        <v>46143</v>
      </c>
      <c r="H135">
        <f t="shared" si="4"/>
        <v>3037.64</v>
      </c>
      <c r="I135" t="str">
        <f t="shared" si="5"/>
        <v>May</v>
      </c>
    </row>
    <row r="136" spans="1:9" x14ac:dyDescent="0.3">
      <c r="A136" t="s">
        <v>170</v>
      </c>
      <c r="B136" t="s">
        <v>91</v>
      </c>
      <c r="C136" t="s">
        <v>13</v>
      </c>
      <c r="D136">
        <v>5</v>
      </c>
      <c r="E136">
        <v>50072.94</v>
      </c>
      <c r="F136" t="s">
        <v>32</v>
      </c>
      <c r="G136" s="1">
        <v>46080</v>
      </c>
      <c r="H136">
        <f t="shared" si="4"/>
        <v>250364.7</v>
      </c>
      <c r="I136" t="str">
        <f t="shared" si="5"/>
        <v>February</v>
      </c>
    </row>
    <row r="137" spans="1:9" x14ac:dyDescent="0.3">
      <c r="A137" t="s">
        <v>171</v>
      </c>
      <c r="B137" t="s">
        <v>8</v>
      </c>
      <c r="C137" t="s">
        <v>9</v>
      </c>
      <c r="D137">
        <v>1</v>
      </c>
      <c r="E137">
        <v>1901.24</v>
      </c>
      <c r="F137" t="s">
        <v>46</v>
      </c>
      <c r="G137" s="1">
        <v>46030</v>
      </c>
      <c r="H137">
        <f t="shared" si="4"/>
        <v>1901.24</v>
      </c>
      <c r="I137" t="str">
        <f t="shared" si="5"/>
        <v>January</v>
      </c>
    </row>
    <row r="138" spans="1:9" x14ac:dyDescent="0.3">
      <c r="A138" t="s">
        <v>172</v>
      </c>
      <c r="B138" t="s">
        <v>12</v>
      </c>
      <c r="C138" t="s">
        <v>13</v>
      </c>
      <c r="D138">
        <v>2</v>
      </c>
      <c r="E138">
        <v>1601.77</v>
      </c>
      <c r="F138" t="s">
        <v>50</v>
      </c>
      <c r="G138" s="1">
        <v>46062</v>
      </c>
      <c r="H138">
        <f t="shared" si="4"/>
        <v>3203.54</v>
      </c>
      <c r="I138" t="str">
        <f t="shared" si="5"/>
        <v>February</v>
      </c>
    </row>
    <row r="139" spans="1:9" x14ac:dyDescent="0.3">
      <c r="A139" t="s">
        <v>173</v>
      </c>
      <c r="B139" t="s">
        <v>12</v>
      </c>
      <c r="C139" t="s">
        <v>13</v>
      </c>
      <c r="D139">
        <v>2</v>
      </c>
      <c r="E139">
        <v>1492.07</v>
      </c>
      <c r="F139" t="s">
        <v>18</v>
      </c>
      <c r="G139" s="1">
        <v>46167</v>
      </c>
      <c r="H139">
        <f t="shared" si="4"/>
        <v>2984.14</v>
      </c>
      <c r="I139" t="str">
        <f t="shared" si="5"/>
        <v>May</v>
      </c>
    </row>
    <row r="140" spans="1:9" x14ac:dyDescent="0.3">
      <c r="A140" t="s">
        <v>174</v>
      </c>
      <c r="B140" t="s">
        <v>12</v>
      </c>
      <c r="C140" t="s">
        <v>13</v>
      </c>
      <c r="D140">
        <v>4</v>
      </c>
      <c r="E140">
        <v>1559.84</v>
      </c>
      <c r="F140" t="s">
        <v>32</v>
      </c>
      <c r="G140" s="1">
        <v>46065</v>
      </c>
      <c r="H140">
        <f t="shared" si="4"/>
        <v>6239.36</v>
      </c>
      <c r="I140" t="str">
        <f t="shared" si="5"/>
        <v>February</v>
      </c>
    </row>
    <row r="141" spans="1:9" x14ac:dyDescent="0.3">
      <c r="A141" t="s">
        <v>175</v>
      </c>
      <c r="B141" t="s">
        <v>16</v>
      </c>
      <c r="C141" t="s">
        <v>17</v>
      </c>
      <c r="D141">
        <v>5</v>
      </c>
      <c r="E141">
        <v>491.74</v>
      </c>
      <c r="F141" t="s">
        <v>18</v>
      </c>
      <c r="G141" s="1">
        <v>46064</v>
      </c>
      <c r="H141">
        <f t="shared" si="4"/>
        <v>2458.6999999999998</v>
      </c>
      <c r="I141" t="str">
        <f t="shared" si="5"/>
        <v>February</v>
      </c>
    </row>
    <row r="142" spans="1:9" x14ac:dyDescent="0.3">
      <c r="A142" t="s">
        <v>176</v>
      </c>
      <c r="B142" t="s">
        <v>24</v>
      </c>
      <c r="C142" t="s">
        <v>25</v>
      </c>
      <c r="D142">
        <v>1</v>
      </c>
      <c r="E142">
        <v>811.57</v>
      </c>
      <c r="F142" t="s">
        <v>10</v>
      </c>
      <c r="G142" s="1">
        <v>46170</v>
      </c>
      <c r="H142">
        <f t="shared" si="4"/>
        <v>811.57</v>
      </c>
      <c r="I142" t="str">
        <f t="shared" si="5"/>
        <v>May</v>
      </c>
    </row>
    <row r="143" spans="1:9" x14ac:dyDescent="0.3">
      <c r="A143" t="s">
        <v>177</v>
      </c>
      <c r="B143" t="s">
        <v>8</v>
      </c>
      <c r="C143" t="s">
        <v>9</v>
      </c>
      <c r="D143">
        <v>4</v>
      </c>
      <c r="E143">
        <v>1762.8</v>
      </c>
      <c r="F143" t="s">
        <v>29</v>
      </c>
      <c r="G143" s="1">
        <v>46042</v>
      </c>
      <c r="H143">
        <f t="shared" si="4"/>
        <v>7051.2</v>
      </c>
      <c r="I143" t="str">
        <f t="shared" si="5"/>
        <v>January</v>
      </c>
    </row>
    <row r="144" spans="1:9" x14ac:dyDescent="0.3">
      <c r="A144" t="s">
        <v>178</v>
      </c>
      <c r="B144" t="s">
        <v>16</v>
      </c>
      <c r="C144" t="s">
        <v>17</v>
      </c>
      <c r="D144">
        <v>2</v>
      </c>
      <c r="E144">
        <v>414.17</v>
      </c>
      <c r="F144" t="s">
        <v>10</v>
      </c>
      <c r="G144" s="1">
        <v>46198</v>
      </c>
      <c r="H144">
        <f t="shared" si="4"/>
        <v>828.34</v>
      </c>
      <c r="I144" t="str">
        <f t="shared" si="5"/>
        <v>June</v>
      </c>
    </row>
    <row r="145" spans="1:9" x14ac:dyDescent="0.3">
      <c r="A145" t="s">
        <v>179</v>
      </c>
      <c r="B145" t="s">
        <v>16</v>
      </c>
      <c r="C145" t="s">
        <v>17</v>
      </c>
      <c r="D145">
        <v>1</v>
      </c>
      <c r="E145">
        <v>476.66</v>
      </c>
      <c r="F145" t="s">
        <v>50</v>
      </c>
      <c r="G145" s="1">
        <v>46033</v>
      </c>
      <c r="H145">
        <f t="shared" si="4"/>
        <v>476.66</v>
      </c>
      <c r="I145" t="str">
        <f t="shared" si="5"/>
        <v>January</v>
      </c>
    </row>
    <row r="146" spans="1:9" x14ac:dyDescent="0.3">
      <c r="A146" t="s">
        <v>180</v>
      </c>
      <c r="B146" t="s">
        <v>55</v>
      </c>
      <c r="C146" t="s">
        <v>25</v>
      </c>
      <c r="D146">
        <v>5</v>
      </c>
      <c r="E146">
        <v>2463.1999999999998</v>
      </c>
      <c r="F146" t="s">
        <v>32</v>
      </c>
      <c r="G146" s="1">
        <v>46040</v>
      </c>
      <c r="H146">
        <f t="shared" si="4"/>
        <v>12316</v>
      </c>
      <c r="I146" t="str">
        <f t="shared" si="5"/>
        <v>January</v>
      </c>
    </row>
    <row r="147" spans="1:9" x14ac:dyDescent="0.3">
      <c r="A147" t="s">
        <v>181</v>
      </c>
      <c r="B147" t="s">
        <v>80</v>
      </c>
      <c r="C147" t="s">
        <v>39</v>
      </c>
      <c r="D147">
        <v>3</v>
      </c>
      <c r="E147">
        <v>3790.63</v>
      </c>
      <c r="F147" t="s">
        <v>48</v>
      </c>
      <c r="G147" s="1">
        <v>46148</v>
      </c>
      <c r="H147">
        <f t="shared" si="4"/>
        <v>11371.89</v>
      </c>
      <c r="I147" t="str">
        <f t="shared" si="5"/>
        <v>May</v>
      </c>
    </row>
    <row r="148" spans="1:9" x14ac:dyDescent="0.3">
      <c r="A148" t="s">
        <v>182</v>
      </c>
      <c r="B148" t="s">
        <v>31</v>
      </c>
      <c r="C148" t="s">
        <v>13</v>
      </c>
      <c r="D148">
        <v>4</v>
      </c>
      <c r="E148">
        <v>19658.84</v>
      </c>
      <c r="F148" t="s">
        <v>22</v>
      </c>
      <c r="G148" s="1">
        <v>46062</v>
      </c>
      <c r="H148">
        <f t="shared" si="4"/>
        <v>78635.360000000001</v>
      </c>
      <c r="I148" t="str">
        <f t="shared" si="5"/>
        <v>February</v>
      </c>
    </row>
    <row r="149" spans="1:9" x14ac:dyDescent="0.3">
      <c r="A149" t="s">
        <v>183</v>
      </c>
      <c r="B149" t="s">
        <v>28</v>
      </c>
      <c r="C149" t="s">
        <v>9</v>
      </c>
      <c r="D149">
        <v>2</v>
      </c>
      <c r="E149">
        <v>5232.75</v>
      </c>
      <c r="F149" t="s">
        <v>10</v>
      </c>
      <c r="G149" s="1">
        <v>46180</v>
      </c>
      <c r="H149">
        <f t="shared" si="4"/>
        <v>10465.5</v>
      </c>
      <c r="I149" t="str">
        <f t="shared" si="5"/>
        <v>June</v>
      </c>
    </row>
    <row r="150" spans="1:9" x14ac:dyDescent="0.3">
      <c r="A150" t="s">
        <v>184</v>
      </c>
      <c r="B150" t="s">
        <v>62</v>
      </c>
      <c r="C150" t="s">
        <v>25</v>
      </c>
      <c r="D150">
        <v>5</v>
      </c>
      <c r="E150">
        <v>2108.8000000000002</v>
      </c>
      <c r="F150" t="s">
        <v>22</v>
      </c>
      <c r="G150" s="1">
        <v>46134</v>
      </c>
      <c r="H150">
        <f t="shared" si="4"/>
        <v>10544</v>
      </c>
      <c r="I150" t="str">
        <f t="shared" si="5"/>
        <v>April</v>
      </c>
    </row>
    <row r="151" spans="1:9" x14ac:dyDescent="0.3">
      <c r="A151" t="s">
        <v>185</v>
      </c>
      <c r="B151" t="s">
        <v>38</v>
      </c>
      <c r="C151" t="s">
        <v>39</v>
      </c>
      <c r="D151">
        <v>5</v>
      </c>
      <c r="E151">
        <v>6198.91</v>
      </c>
      <c r="F151" t="s">
        <v>29</v>
      </c>
      <c r="G151" s="1">
        <v>46045</v>
      </c>
      <c r="H151">
        <f t="shared" si="4"/>
        <v>30994.55</v>
      </c>
      <c r="I151" t="str">
        <f t="shared" si="5"/>
        <v>January</v>
      </c>
    </row>
    <row r="152" spans="1:9" x14ac:dyDescent="0.3">
      <c r="A152" t="s">
        <v>186</v>
      </c>
      <c r="B152" t="s">
        <v>24</v>
      </c>
      <c r="C152" t="s">
        <v>25</v>
      </c>
      <c r="D152">
        <v>4</v>
      </c>
      <c r="E152">
        <v>758.07</v>
      </c>
      <c r="F152" t="s">
        <v>22</v>
      </c>
      <c r="G152" s="1">
        <v>46168</v>
      </c>
      <c r="H152">
        <f t="shared" si="4"/>
        <v>3032.28</v>
      </c>
      <c r="I152" t="str">
        <f t="shared" si="5"/>
        <v>May</v>
      </c>
    </row>
    <row r="153" spans="1:9" x14ac:dyDescent="0.3">
      <c r="A153" t="s">
        <v>187</v>
      </c>
      <c r="B153" t="s">
        <v>16</v>
      </c>
      <c r="C153" t="s">
        <v>17</v>
      </c>
      <c r="D153">
        <v>4</v>
      </c>
      <c r="E153">
        <v>435.28</v>
      </c>
      <c r="F153" t="s">
        <v>22</v>
      </c>
      <c r="G153" s="1">
        <v>46106</v>
      </c>
      <c r="H153">
        <f t="shared" si="4"/>
        <v>1741.12</v>
      </c>
      <c r="I153" t="str">
        <f t="shared" si="5"/>
        <v>March</v>
      </c>
    </row>
    <row r="154" spans="1:9" x14ac:dyDescent="0.3">
      <c r="A154" t="s">
        <v>188</v>
      </c>
      <c r="B154" t="s">
        <v>72</v>
      </c>
      <c r="C154" t="s">
        <v>13</v>
      </c>
      <c r="D154">
        <v>4</v>
      </c>
      <c r="E154">
        <v>2073.33</v>
      </c>
      <c r="F154" t="s">
        <v>10</v>
      </c>
      <c r="G154" s="1">
        <v>46110</v>
      </c>
      <c r="H154">
        <f t="shared" si="4"/>
        <v>8293.32</v>
      </c>
      <c r="I154" t="str">
        <f t="shared" si="5"/>
        <v>March</v>
      </c>
    </row>
    <row r="155" spans="1:9" x14ac:dyDescent="0.3">
      <c r="A155" t="s">
        <v>189</v>
      </c>
      <c r="B155" t="s">
        <v>24</v>
      </c>
      <c r="C155" t="s">
        <v>25</v>
      </c>
      <c r="D155">
        <v>5</v>
      </c>
      <c r="E155">
        <v>831.15</v>
      </c>
      <c r="F155" t="s">
        <v>10</v>
      </c>
      <c r="G155" s="1">
        <v>46165</v>
      </c>
      <c r="H155">
        <f t="shared" si="4"/>
        <v>4155.75</v>
      </c>
      <c r="I155" t="str">
        <f t="shared" si="5"/>
        <v>May</v>
      </c>
    </row>
    <row r="156" spans="1:9" x14ac:dyDescent="0.3">
      <c r="A156" t="s">
        <v>190</v>
      </c>
      <c r="B156" t="s">
        <v>91</v>
      </c>
      <c r="C156" t="s">
        <v>13</v>
      </c>
      <c r="D156">
        <v>5</v>
      </c>
      <c r="E156">
        <v>59928.69</v>
      </c>
      <c r="F156" t="s">
        <v>18</v>
      </c>
      <c r="G156" s="1">
        <v>46084</v>
      </c>
      <c r="H156">
        <f t="shared" si="4"/>
        <v>299643.45</v>
      </c>
      <c r="I156" t="str">
        <f t="shared" si="5"/>
        <v>March</v>
      </c>
    </row>
    <row r="157" spans="1:9" x14ac:dyDescent="0.3">
      <c r="A157" t="s">
        <v>191</v>
      </c>
      <c r="B157" t="s">
        <v>21</v>
      </c>
      <c r="C157" t="s">
        <v>13</v>
      </c>
      <c r="D157">
        <v>4</v>
      </c>
      <c r="E157">
        <v>27936.04</v>
      </c>
      <c r="F157" t="s">
        <v>29</v>
      </c>
      <c r="G157" s="1">
        <v>46199</v>
      </c>
      <c r="H157">
        <f t="shared" si="4"/>
        <v>111744.16</v>
      </c>
      <c r="I157" t="str">
        <f t="shared" si="5"/>
        <v>June</v>
      </c>
    </row>
    <row r="158" spans="1:9" x14ac:dyDescent="0.3">
      <c r="A158" t="s">
        <v>192</v>
      </c>
      <c r="B158" t="s">
        <v>44</v>
      </c>
      <c r="C158" t="s">
        <v>39</v>
      </c>
      <c r="D158">
        <v>4</v>
      </c>
      <c r="E158">
        <v>3463.72</v>
      </c>
      <c r="F158" t="s">
        <v>46</v>
      </c>
      <c r="G158" s="1">
        <v>46046</v>
      </c>
      <c r="H158">
        <f t="shared" si="4"/>
        <v>13854.88</v>
      </c>
      <c r="I158" t="str">
        <f t="shared" si="5"/>
        <v>January</v>
      </c>
    </row>
    <row r="159" spans="1:9" x14ac:dyDescent="0.3">
      <c r="A159" t="s">
        <v>193</v>
      </c>
      <c r="B159" t="s">
        <v>24</v>
      </c>
      <c r="C159" t="s">
        <v>25</v>
      </c>
      <c r="D159">
        <v>2</v>
      </c>
      <c r="E159">
        <v>783.72</v>
      </c>
      <c r="F159" t="s">
        <v>29</v>
      </c>
      <c r="G159" s="1">
        <v>46101</v>
      </c>
      <c r="H159">
        <f t="shared" si="4"/>
        <v>1567.44</v>
      </c>
      <c r="I159" t="str">
        <f t="shared" si="5"/>
        <v>March</v>
      </c>
    </row>
    <row r="160" spans="1:9" x14ac:dyDescent="0.3">
      <c r="A160" t="s">
        <v>194</v>
      </c>
      <c r="B160" t="s">
        <v>8</v>
      </c>
      <c r="C160" t="s">
        <v>9</v>
      </c>
      <c r="D160">
        <v>5</v>
      </c>
      <c r="E160">
        <v>1752.85</v>
      </c>
      <c r="F160" t="s">
        <v>14</v>
      </c>
      <c r="G160" s="1">
        <v>46158</v>
      </c>
      <c r="H160">
        <f t="shared" si="4"/>
        <v>8764.25</v>
      </c>
      <c r="I160" t="str">
        <f t="shared" si="5"/>
        <v>May</v>
      </c>
    </row>
    <row r="161" spans="1:9" x14ac:dyDescent="0.3">
      <c r="A161" t="s">
        <v>195</v>
      </c>
      <c r="B161" t="s">
        <v>55</v>
      </c>
      <c r="C161" t="s">
        <v>25</v>
      </c>
      <c r="D161">
        <v>4</v>
      </c>
      <c r="E161">
        <v>2747.22</v>
      </c>
      <c r="F161" t="s">
        <v>14</v>
      </c>
      <c r="G161" s="1">
        <v>46107</v>
      </c>
      <c r="H161">
        <f t="shared" si="4"/>
        <v>10988.88</v>
      </c>
      <c r="I161" t="str">
        <f t="shared" si="5"/>
        <v>March</v>
      </c>
    </row>
    <row r="162" spans="1:9" x14ac:dyDescent="0.3">
      <c r="A162" t="s">
        <v>196</v>
      </c>
      <c r="B162" t="s">
        <v>55</v>
      </c>
      <c r="C162" t="s">
        <v>25</v>
      </c>
      <c r="D162">
        <v>4</v>
      </c>
      <c r="E162">
        <v>2384.5</v>
      </c>
      <c r="F162" t="s">
        <v>10</v>
      </c>
      <c r="G162" s="1">
        <v>46082</v>
      </c>
      <c r="H162">
        <f t="shared" si="4"/>
        <v>9538</v>
      </c>
      <c r="I162" t="str">
        <f t="shared" si="5"/>
        <v>March</v>
      </c>
    </row>
    <row r="163" spans="1:9" x14ac:dyDescent="0.3">
      <c r="A163" t="s">
        <v>197</v>
      </c>
      <c r="B163" t="s">
        <v>31</v>
      </c>
      <c r="C163" t="s">
        <v>13</v>
      </c>
      <c r="D163">
        <v>2</v>
      </c>
      <c r="E163">
        <v>17335.97</v>
      </c>
      <c r="F163" t="s">
        <v>14</v>
      </c>
      <c r="G163" s="1">
        <v>46199</v>
      </c>
      <c r="H163">
        <f t="shared" si="4"/>
        <v>34671.94</v>
      </c>
      <c r="I163" t="str">
        <f t="shared" si="5"/>
        <v>June</v>
      </c>
    </row>
    <row r="164" spans="1:9" x14ac:dyDescent="0.3">
      <c r="A164" t="s">
        <v>198</v>
      </c>
      <c r="B164" t="s">
        <v>72</v>
      </c>
      <c r="C164" t="s">
        <v>13</v>
      </c>
      <c r="D164">
        <v>2</v>
      </c>
      <c r="E164">
        <v>2075.21</v>
      </c>
      <c r="F164" t="s">
        <v>22</v>
      </c>
      <c r="G164" s="1">
        <v>46093</v>
      </c>
      <c r="H164">
        <f t="shared" si="4"/>
        <v>4150.42</v>
      </c>
      <c r="I164" t="str">
        <f t="shared" si="5"/>
        <v>March</v>
      </c>
    </row>
    <row r="165" spans="1:9" x14ac:dyDescent="0.3">
      <c r="A165" t="s">
        <v>199</v>
      </c>
      <c r="B165" t="s">
        <v>21</v>
      </c>
      <c r="C165" t="s">
        <v>13</v>
      </c>
      <c r="D165">
        <v>5</v>
      </c>
      <c r="E165">
        <v>30669</v>
      </c>
      <c r="F165" t="s">
        <v>14</v>
      </c>
      <c r="G165" s="1">
        <v>46175</v>
      </c>
      <c r="H165">
        <f t="shared" si="4"/>
        <v>153345</v>
      </c>
      <c r="I165" t="str">
        <f t="shared" si="5"/>
        <v>June</v>
      </c>
    </row>
    <row r="166" spans="1:9" x14ac:dyDescent="0.3">
      <c r="A166" t="s">
        <v>200</v>
      </c>
      <c r="B166" t="s">
        <v>24</v>
      </c>
      <c r="C166" t="s">
        <v>25</v>
      </c>
      <c r="D166">
        <v>1</v>
      </c>
      <c r="E166">
        <v>852.15</v>
      </c>
      <c r="F166" t="s">
        <v>10</v>
      </c>
      <c r="G166" s="1">
        <v>46081</v>
      </c>
      <c r="H166">
        <f t="shared" si="4"/>
        <v>852.15</v>
      </c>
      <c r="I166" t="str">
        <f t="shared" si="5"/>
        <v>February</v>
      </c>
    </row>
    <row r="167" spans="1:9" x14ac:dyDescent="0.3">
      <c r="A167" t="s">
        <v>201</v>
      </c>
      <c r="B167" t="s">
        <v>55</v>
      </c>
      <c r="C167" t="s">
        <v>25</v>
      </c>
      <c r="D167">
        <v>2</v>
      </c>
      <c r="E167">
        <v>2400.17</v>
      </c>
      <c r="F167" t="s">
        <v>14</v>
      </c>
      <c r="G167" s="1">
        <v>46055</v>
      </c>
      <c r="H167">
        <f t="shared" si="4"/>
        <v>4800.34</v>
      </c>
      <c r="I167" t="str">
        <f t="shared" si="5"/>
        <v>February</v>
      </c>
    </row>
    <row r="168" spans="1:9" x14ac:dyDescent="0.3">
      <c r="A168" t="s">
        <v>202</v>
      </c>
      <c r="B168" t="s">
        <v>24</v>
      </c>
      <c r="C168" t="s">
        <v>25</v>
      </c>
      <c r="D168">
        <v>1</v>
      </c>
      <c r="E168">
        <v>874.79</v>
      </c>
      <c r="F168" t="s">
        <v>14</v>
      </c>
      <c r="G168" s="1">
        <v>46097</v>
      </c>
      <c r="H168">
        <f t="shared" si="4"/>
        <v>874.79</v>
      </c>
      <c r="I168" t="str">
        <f t="shared" si="5"/>
        <v>March</v>
      </c>
    </row>
    <row r="169" spans="1:9" x14ac:dyDescent="0.3">
      <c r="A169" t="s">
        <v>203</v>
      </c>
      <c r="B169" t="s">
        <v>21</v>
      </c>
      <c r="C169" t="s">
        <v>13</v>
      </c>
      <c r="D169">
        <v>2</v>
      </c>
      <c r="E169">
        <v>28772.07</v>
      </c>
      <c r="F169" t="s">
        <v>22</v>
      </c>
      <c r="G169" s="1">
        <v>46049</v>
      </c>
      <c r="H169">
        <f t="shared" si="4"/>
        <v>57544.14</v>
      </c>
      <c r="I169" t="str">
        <f t="shared" si="5"/>
        <v>January</v>
      </c>
    </row>
    <row r="170" spans="1:9" x14ac:dyDescent="0.3">
      <c r="A170" t="s">
        <v>204</v>
      </c>
      <c r="B170" t="s">
        <v>38</v>
      </c>
      <c r="C170" t="s">
        <v>39</v>
      </c>
      <c r="D170">
        <v>1</v>
      </c>
      <c r="E170">
        <v>6596.28</v>
      </c>
      <c r="F170" t="s">
        <v>22</v>
      </c>
      <c r="G170" s="1">
        <v>46145</v>
      </c>
      <c r="H170">
        <f t="shared" si="4"/>
        <v>6596.28</v>
      </c>
      <c r="I170" t="str">
        <f t="shared" si="5"/>
        <v>May</v>
      </c>
    </row>
    <row r="171" spans="1:9" x14ac:dyDescent="0.3">
      <c r="A171" t="s">
        <v>205</v>
      </c>
      <c r="B171" t="s">
        <v>44</v>
      </c>
      <c r="C171" t="s">
        <v>39</v>
      </c>
      <c r="D171">
        <v>3</v>
      </c>
      <c r="E171">
        <v>3279.05</v>
      </c>
      <c r="F171" t="s">
        <v>46</v>
      </c>
      <c r="G171" s="1">
        <v>46087</v>
      </c>
      <c r="H171">
        <f t="shared" si="4"/>
        <v>9837.1500000000015</v>
      </c>
      <c r="I171" t="str">
        <f t="shared" si="5"/>
        <v>March</v>
      </c>
    </row>
    <row r="172" spans="1:9" x14ac:dyDescent="0.3">
      <c r="A172" t="s">
        <v>206</v>
      </c>
      <c r="B172" t="s">
        <v>38</v>
      </c>
      <c r="C172" t="s">
        <v>39</v>
      </c>
      <c r="D172">
        <v>4</v>
      </c>
      <c r="E172">
        <v>5998.31</v>
      </c>
      <c r="F172" t="s">
        <v>18</v>
      </c>
      <c r="G172" s="1">
        <v>46125</v>
      </c>
      <c r="H172">
        <f t="shared" si="4"/>
        <v>23993.24</v>
      </c>
      <c r="I172" t="str">
        <f t="shared" si="5"/>
        <v>April</v>
      </c>
    </row>
    <row r="173" spans="1:9" x14ac:dyDescent="0.3">
      <c r="A173" t="s">
        <v>207</v>
      </c>
      <c r="B173" t="s">
        <v>44</v>
      </c>
      <c r="C173" t="s">
        <v>39</v>
      </c>
      <c r="D173">
        <v>1</v>
      </c>
      <c r="E173">
        <v>3553.91</v>
      </c>
      <c r="F173" t="s">
        <v>46</v>
      </c>
      <c r="G173" s="1">
        <v>46061</v>
      </c>
      <c r="H173">
        <f t="shared" si="4"/>
        <v>3553.91</v>
      </c>
      <c r="I173" t="str">
        <f t="shared" si="5"/>
        <v>February</v>
      </c>
    </row>
    <row r="174" spans="1:9" x14ac:dyDescent="0.3">
      <c r="A174" t="s">
        <v>208</v>
      </c>
      <c r="B174" t="s">
        <v>72</v>
      </c>
      <c r="C174" t="s">
        <v>13</v>
      </c>
      <c r="D174">
        <v>5</v>
      </c>
      <c r="E174">
        <v>2397.62</v>
      </c>
      <c r="F174" t="s">
        <v>18</v>
      </c>
      <c r="G174" s="1">
        <v>46086</v>
      </c>
      <c r="H174">
        <f t="shared" si="4"/>
        <v>11988.099999999999</v>
      </c>
      <c r="I174" t="str">
        <f t="shared" si="5"/>
        <v>March</v>
      </c>
    </row>
    <row r="175" spans="1:9" x14ac:dyDescent="0.3">
      <c r="A175" t="s">
        <v>209</v>
      </c>
      <c r="B175" t="s">
        <v>31</v>
      </c>
      <c r="C175" t="s">
        <v>13</v>
      </c>
      <c r="D175">
        <v>5</v>
      </c>
      <c r="E175">
        <v>18952</v>
      </c>
      <c r="F175" t="s">
        <v>50</v>
      </c>
      <c r="G175" s="1">
        <v>46175</v>
      </c>
      <c r="H175">
        <f t="shared" si="4"/>
        <v>94760</v>
      </c>
      <c r="I175" t="str">
        <f t="shared" si="5"/>
        <v>June</v>
      </c>
    </row>
    <row r="176" spans="1:9" x14ac:dyDescent="0.3">
      <c r="A176" t="s">
        <v>210</v>
      </c>
      <c r="B176" t="s">
        <v>62</v>
      </c>
      <c r="C176" t="s">
        <v>25</v>
      </c>
      <c r="D176">
        <v>5</v>
      </c>
      <c r="E176">
        <v>1889.33</v>
      </c>
      <c r="F176" t="s">
        <v>14</v>
      </c>
      <c r="G176" s="1">
        <v>46120</v>
      </c>
      <c r="H176">
        <f t="shared" si="4"/>
        <v>9446.65</v>
      </c>
      <c r="I176" t="str">
        <f t="shared" si="5"/>
        <v>April</v>
      </c>
    </row>
    <row r="177" spans="1:9" x14ac:dyDescent="0.3">
      <c r="A177" t="s">
        <v>211</v>
      </c>
      <c r="B177" t="s">
        <v>44</v>
      </c>
      <c r="C177" t="s">
        <v>39</v>
      </c>
      <c r="D177">
        <v>4</v>
      </c>
      <c r="E177">
        <v>3358.15</v>
      </c>
      <c r="F177" t="s">
        <v>50</v>
      </c>
      <c r="G177" s="1">
        <v>46132</v>
      </c>
      <c r="H177">
        <f t="shared" si="4"/>
        <v>13432.6</v>
      </c>
      <c r="I177" t="str">
        <f t="shared" si="5"/>
        <v>April</v>
      </c>
    </row>
    <row r="178" spans="1:9" x14ac:dyDescent="0.3">
      <c r="A178" t="s">
        <v>212</v>
      </c>
      <c r="B178" t="s">
        <v>24</v>
      </c>
      <c r="C178" t="s">
        <v>25</v>
      </c>
      <c r="D178">
        <v>5</v>
      </c>
      <c r="E178">
        <v>818.34</v>
      </c>
      <c r="F178" t="s">
        <v>50</v>
      </c>
      <c r="G178" s="1">
        <v>46048</v>
      </c>
      <c r="H178">
        <f t="shared" si="4"/>
        <v>4091.7000000000003</v>
      </c>
      <c r="I178" t="str">
        <f t="shared" si="5"/>
        <v>January</v>
      </c>
    </row>
    <row r="179" spans="1:9" x14ac:dyDescent="0.3">
      <c r="A179" t="s">
        <v>213</v>
      </c>
      <c r="B179" t="s">
        <v>62</v>
      </c>
      <c r="C179" t="s">
        <v>25</v>
      </c>
      <c r="D179">
        <v>2</v>
      </c>
      <c r="E179">
        <v>2049.1799999999998</v>
      </c>
      <c r="F179" t="s">
        <v>10</v>
      </c>
      <c r="G179" s="1">
        <v>46192</v>
      </c>
      <c r="H179">
        <f t="shared" si="4"/>
        <v>4098.3599999999997</v>
      </c>
      <c r="I179" t="str">
        <f t="shared" si="5"/>
        <v>June</v>
      </c>
    </row>
    <row r="180" spans="1:9" x14ac:dyDescent="0.3">
      <c r="A180" t="s">
        <v>214</v>
      </c>
      <c r="B180" t="s">
        <v>31</v>
      </c>
      <c r="C180" t="s">
        <v>13</v>
      </c>
      <c r="D180">
        <v>2</v>
      </c>
      <c r="E180">
        <v>17063.509999999998</v>
      </c>
      <c r="F180" t="s">
        <v>14</v>
      </c>
      <c r="G180" s="1">
        <v>46042</v>
      </c>
      <c r="H180">
        <f t="shared" si="4"/>
        <v>34127.019999999997</v>
      </c>
      <c r="I180" t="str">
        <f t="shared" si="5"/>
        <v>January</v>
      </c>
    </row>
    <row r="181" spans="1:9" x14ac:dyDescent="0.3">
      <c r="A181" t="s">
        <v>215</v>
      </c>
      <c r="B181" t="s">
        <v>72</v>
      </c>
      <c r="C181" t="s">
        <v>13</v>
      </c>
      <c r="D181">
        <v>1</v>
      </c>
      <c r="E181">
        <v>2159.75</v>
      </c>
      <c r="F181" t="s">
        <v>50</v>
      </c>
      <c r="G181" s="1">
        <v>46143</v>
      </c>
      <c r="H181">
        <f t="shared" si="4"/>
        <v>2159.75</v>
      </c>
      <c r="I181" t="str">
        <f t="shared" si="5"/>
        <v>May</v>
      </c>
    </row>
    <row r="182" spans="1:9" x14ac:dyDescent="0.3">
      <c r="A182" t="s">
        <v>216</v>
      </c>
      <c r="B182" t="s">
        <v>24</v>
      </c>
      <c r="C182" t="s">
        <v>25</v>
      </c>
      <c r="D182">
        <v>1</v>
      </c>
      <c r="E182">
        <v>756.09</v>
      </c>
      <c r="F182" t="s">
        <v>10</v>
      </c>
      <c r="G182" s="1">
        <v>46202</v>
      </c>
      <c r="H182">
        <f t="shared" si="4"/>
        <v>756.09</v>
      </c>
      <c r="I182" t="str">
        <f t="shared" si="5"/>
        <v>June</v>
      </c>
    </row>
    <row r="183" spans="1:9" x14ac:dyDescent="0.3">
      <c r="A183" t="s">
        <v>217</v>
      </c>
      <c r="B183" t="s">
        <v>38</v>
      </c>
      <c r="C183" t="s">
        <v>39</v>
      </c>
      <c r="D183">
        <v>4</v>
      </c>
      <c r="E183">
        <v>5942.53</v>
      </c>
      <c r="F183" t="s">
        <v>29</v>
      </c>
      <c r="G183" s="1">
        <v>46090</v>
      </c>
      <c r="H183">
        <f t="shared" si="4"/>
        <v>23770.12</v>
      </c>
      <c r="I183" t="str">
        <f t="shared" si="5"/>
        <v>March</v>
      </c>
    </row>
    <row r="184" spans="1:9" x14ac:dyDescent="0.3">
      <c r="A184" t="s">
        <v>218</v>
      </c>
      <c r="B184" t="s">
        <v>62</v>
      </c>
      <c r="C184" t="s">
        <v>25</v>
      </c>
      <c r="D184">
        <v>5</v>
      </c>
      <c r="E184">
        <v>2063.44</v>
      </c>
      <c r="F184" t="s">
        <v>29</v>
      </c>
      <c r="G184" s="1">
        <v>46131</v>
      </c>
      <c r="H184">
        <f t="shared" si="4"/>
        <v>10317.200000000001</v>
      </c>
      <c r="I184" t="str">
        <f t="shared" si="5"/>
        <v>April</v>
      </c>
    </row>
    <row r="185" spans="1:9" x14ac:dyDescent="0.3">
      <c r="A185" t="s">
        <v>219</v>
      </c>
      <c r="B185" t="s">
        <v>31</v>
      </c>
      <c r="C185" t="s">
        <v>13</v>
      </c>
      <c r="D185">
        <v>5</v>
      </c>
      <c r="E185">
        <v>17009.310000000001</v>
      </c>
      <c r="F185" t="s">
        <v>26</v>
      </c>
      <c r="G185" s="1">
        <v>46091</v>
      </c>
      <c r="H185">
        <f t="shared" si="4"/>
        <v>85046.55</v>
      </c>
      <c r="I185" t="str">
        <f t="shared" si="5"/>
        <v>March</v>
      </c>
    </row>
    <row r="186" spans="1:9" x14ac:dyDescent="0.3">
      <c r="A186" t="s">
        <v>220</v>
      </c>
      <c r="B186" t="s">
        <v>38</v>
      </c>
      <c r="C186" t="s">
        <v>39</v>
      </c>
      <c r="D186">
        <v>2</v>
      </c>
      <c r="E186">
        <v>5942.83</v>
      </c>
      <c r="F186" t="s">
        <v>26</v>
      </c>
      <c r="G186" s="1">
        <v>46101</v>
      </c>
      <c r="H186">
        <f t="shared" si="4"/>
        <v>11885.66</v>
      </c>
      <c r="I186" t="str">
        <f t="shared" si="5"/>
        <v>March</v>
      </c>
    </row>
    <row r="187" spans="1:9" x14ac:dyDescent="0.3">
      <c r="A187" t="s">
        <v>221</v>
      </c>
      <c r="B187" t="s">
        <v>16</v>
      </c>
      <c r="C187" t="s">
        <v>17</v>
      </c>
      <c r="D187">
        <v>5</v>
      </c>
      <c r="E187">
        <v>487.91</v>
      </c>
      <c r="F187" t="s">
        <v>22</v>
      </c>
      <c r="G187" s="1">
        <v>46054</v>
      </c>
      <c r="H187">
        <f t="shared" si="4"/>
        <v>2439.5500000000002</v>
      </c>
      <c r="I187" t="str">
        <f t="shared" si="5"/>
        <v>February</v>
      </c>
    </row>
    <row r="188" spans="1:9" x14ac:dyDescent="0.3">
      <c r="A188" t="s">
        <v>222</v>
      </c>
      <c r="B188" t="s">
        <v>44</v>
      </c>
      <c r="C188" t="s">
        <v>39</v>
      </c>
      <c r="D188">
        <v>3</v>
      </c>
      <c r="E188">
        <v>3639.81</v>
      </c>
      <c r="F188" t="s">
        <v>10</v>
      </c>
      <c r="G188" s="1">
        <v>46151</v>
      </c>
      <c r="H188">
        <f t="shared" si="4"/>
        <v>10919.43</v>
      </c>
      <c r="I188" t="str">
        <f t="shared" si="5"/>
        <v>May</v>
      </c>
    </row>
    <row r="189" spans="1:9" x14ac:dyDescent="0.3">
      <c r="A189" t="s">
        <v>223</v>
      </c>
      <c r="B189" t="s">
        <v>80</v>
      </c>
      <c r="C189" t="s">
        <v>39</v>
      </c>
      <c r="D189">
        <v>4</v>
      </c>
      <c r="E189">
        <v>4147.72</v>
      </c>
      <c r="F189" t="s">
        <v>50</v>
      </c>
      <c r="G189" s="1">
        <v>46033</v>
      </c>
      <c r="H189">
        <f t="shared" si="4"/>
        <v>16590.88</v>
      </c>
      <c r="I189" t="str">
        <f t="shared" si="5"/>
        <v>January</v>
      </c>
    </row>
    <row r="190" spans="1:9" x14ac:dyDescent="0.3">
      <c r="A190" t="s">
        <v>224</v>
      </c>
      <c r="B190" t="s">
        <v>28</v>
      </c>
      <c r="C190" t="s">
        <v>9</v>
      </c>
      <c r="D190">
        <v>3</v>
      </c>
      <c r="E190">
        <v>5102.6899999999996</v>
      </c>
      <c r="F190" t="s">
        <v>46</v>
      </c>
      <c r="G190" s="1">
        <v>46046</v>
      </c>
      <c r="H190">
        <f t="shared" si="4"/>
        <v>15308.07</v>
      </c>
      <c r="I190" t="str">
        <f t="shared" si="5"/>
        <v>January</v>
      </c>
    </row>
    <row r="191" spans="1:9" x14ac:dyDescent="0.3">
      <c r="A191" t="s">
        <v>225</v>
      </c>
      <c r="B191" t="s">
        <v>12</v>
      </c>
      <c r="C191" t="s">
        <v>13</v>
      </c>
      <c r="D191">
        <v>5</v>
      </c>
      <c r="E191">
        <v>1526.14</v>
      </c>
      <c r="F191" t="s">
        <v>46</v>
      </c>
      <c r="G191" s="1">
        <v>46195</v>
      </c>
      <c r="H191">
        <f t="shared" si="4"/>
        <v>7630.7000000000007</v>
      </c>
      <c r="I191" t="str">
        <f t="shared" si="5"/>
        <v>June</v>
      </c>
    </row>
    <row r="192" spans="1:9" x14ac:dyDescent="0.3">
      <c r="A192" t="s">
        <v>226</v>
      </c>
      <c r="B192" t="s">
        <v>38</v>
      </c>
      <c r="C192" t="s">
        <v>39</v>
      </c>
      <c r="D192">
        <v>3</v>
      </c>
      <c r="E192">
        <v>6599.12</v>
      </c>
      <c r="F192" t="s">
        <v>26</v>
      </c>
      <c r="G192" s="1">
        <v>46143</v>
      </c>
      <c r="H192">
        <f t="shared" si="4"/>
        <v>19797.36</v>
      </c>
      <c r="I192" t="str">
        <f t="shared" si="5"/>
        <v>May</v>
      </c>
    </row>
    <row r="193" spans="1:9" x14ac:dyDescent="0.3">
      <c r="A193" t="s">
        <v>227</v>
      </c>
      <c r="B193" t="s">
        <v>80</v>
      </c>
      <c r="C193" t="s">
        <v>39</v>
      </c>
      <c r="D193">
        <v>4</v>
      </c>
      <c r="E193">
        <v>4549.5</v>
      </c>
      <c r="F193" t="s">
        <v>26</v>
      </c>
      <c r="G193" s="1">
        <v>46172</v>
      </c>
      <c r="H193">
        <f t="shared" si="4"/>
        <v>18198</v>
      </c>
      <c r="I193" t="str">
        <f t="shared" si="5"/>
        <v>May</v>
      </c>
    </row>
    <row r="194" spans="1:9" x14ac:dyDescent="0.3">
      <c r="A194" t="s">
        <v>228</v>
      </c>
      <c r="B194" t="s">
        <v>28</v>
      </c>
      <c r="C194" t="s">
        <v>9</v>
      </c>
      <c r="D194">
        <v>4</v>
      </c>
      <c r="E194">
        <v>5467.96</v>
      </c>
      <c r="F194" t="s">
        <v>22</v>
      </c>
      <c r="G194" s="1">
        <v>46112</v>
      </c>
      <c r="H194">
        <f t="shared" si="4"/>
        <v>21871.84</v>
      </c>
      <c r="I194" t="str">
        <f t="shared" si="5"/>
        <v>March</v>
      </c>
    </row>
    <row r="195" spans="1:9" x14ac:dyDescent="0.3">
      <c r="A195" t="s">
        <v>229</v>
      </c>
      <c r="B195" t="s">
        <v>28</v>
      </c>
      <c r="C195" t="s">
        <v>9</v>
      </c>
      <c r="D195">
        <v>3</v>
      </c>
      <c r="E195">
        <v>4820.09</v>
      </c>
      <c r="F195" t="s">
        <v>18</v>
      </c>
      <c r="G195" s="1">
        <v>46064</v>
      </c>
      <c r="H195">
        <f t="shared" ref="H195:H258" si="6">D195*E195</f>
        <v>14460.27</v>
      </c>
      <c r="I195" t="str">
        <f t="shared" ref="I195:I258" si="7">TEXT(G195, "mmmm")</f>
        <v>February</v>
      </c>
    </row>
    <row r="196" spans="1:9" x14ac:dyDescent="0.3">
      <c r="A196" t="s">
        <v>230</v>
      </c>
      <c r="B196" t="s">
        <v>55</v>
      </c>
      <c r="C196" t="s">
        <v>25</v>
      </c>
      <c r="D196">
        <v>4</v>
      </c>
      <c r="E196">
        <v>2595.8000000000002</v>
      </c>
      <c r="F196" t="s">
        <v>10</v>
      </c>
      <c r="G196" s="1">
        <v>46192</v>
      </c>
      <c r="H196">
        <f t="shared" si="6"/>
        <v>10383.200000000001</v>
      </c>
      <c r="I196" t="str">
        <f t="shared" si="7"/>
        <v>June</v>
      </c>
    </row>
    <row r="197" spans="1:9" x14ac:dyDescent="0.3">
      <c r="A197" t="s">
        <v>231</v>
      </c>
      <c r="B197" t="s">
        <v>28</v>
      </c>
      <c r="C197" t="s">
        <v>9</v>
      </c>
      <c r="D197">
        <v>5</v>
      </c>
      <c r="E197">
        <v>4535.79</v>
      </c>
      <c r="F197" t="s">
        <v>18</v>
      </c>
      <c r="G197" s="1">
        <v>46103</v>
      </c>
      <c r="H197">
        <f t="shared" si="6"/>
        <v>22678.95</v>
      </c>
      <c r="I197" t="str">
        <f t="shared" si="7"/>
        <v>March</v>
      </c>
    </row>
    <row r="198" spans="1:9" x14ac:dyDescent="0.3">
      <c r="A198" t="s">
        <v>232</v>
      </c>
      <c r="B198" t="s">
        <v>24</v>
      </c>
      <c r="C198" t="s">
        <v>25</v>
      </c>
      <c r="D198">
        <v>3</v>
      </c>
      <c r="E198">
        <v>737.62</v>
      </c>
      <c r="F198" t="s">
        <v>48</v>
      </c>
      <c r="G198" s="1">
        <v>46154</v>
      </c>
      <c r="H198">
        <f t="shared" si="6"/>
        <v>2212.86</v>
      </c>
      <c r="I198" t="str">
        <f t="shared" si="7"/>
        <v>May</v>
      </c>
    </row>
    <row r="199" spans="1:9" x14ac:dyDescent="0.3">
      <c r="A199" t="s">
        <v>233</v>
      </c>
      <c r="B199" t="s">
        <v>38</v>
      </c>
      <c r="C199" t="s">
        <v>39</v>
      </c>
      <c r="D199">
        <v>1</v>
      </c>
      <c r="E199">
        <v>6704.96</v>
      </c>
      <c r="F199" t="s">
        <v>14</v>
      </c>
      <c r="G199" s="1">
        <v>46141</v>
      </c>
      <c r="H199">
        <f t="shared" si="6"/>
        <v>6704.96</v>
      </c>
      <c r="I199" t="str">
        <f t="shared" si="7"/>
        <v>April</v>
      </c>
    </row>
    <row r="200" spans="1:9" x14ac:dyDescent="0.3">
      <c r="A200" t="s">
        <v>234</v>
      </c>
      <c r="B200" t="s">
        <v>28</v>
      </c>
      <c r="C200" t="s">
        <v>9</v>
      </c>
      <c r="D200">
        <v>1</v>
      </c>
      <c r="E200">
        <v>4686.6499999999996</v>
      </c>
      <c r="F200" t="s">
        <v>32</v>
      </c>
      <c r="G200" s="1">
        <v>46182</v>
      </c>
      <c r="H200">
        <f t="shared" si="6"/>
        <v>4686.6499999999996</v>
      </c>
      <c r="I200" t="str">
        <f t="shared" si="7"/>
        <v>June</v>
      </c>
    </row>
    <row r="201" spans="1:9" x14ac:dyDescent="0.3">
      <c r="A201" t="s">
        <v>235</v>
      </c>
      <c r="B201" t="s">
        <v>62</v>
      </c>
      <c r="C201" t="s">
        <v>25</v>
      </c>
      <c r="D201">
        <v>4</v>
      </c>
      <c r="E201">
        <v>2049.14</v>
      </c>
      <c r="F201" t="s">
        <v>46</v>
      </c>
      <c r="G201" s="1">
        <v>46075</v>
      </c>
      <c r="H201">
        <f t="shared" si="6"/>
        <v>8196.56</v>
      </c>
      <c r="I201" t="str">
        <f t="shared" si="7"/>
        <v>February</v>
      </c>
    </row>
    <row r="202" spans="1:9" x14ac:dyDescent="0.3">
      <c r="A202" t="s">
        <v>236</v>
      </c>
      <c r="B202" t="s">
        <v>24</v>
      </c>
      <c r="C202" t="s">
        <v>25</v>
      </c>
      <c r="D202">
        <v>5</v>
      </c>
      <c r="E202">
        <v>740.04</v>
      </c>
      <c r="F202" t="s">
        <v>10</v>
      </c>
      <c r="G202" s="1">
        <v>46135</v>
      </c>
      <c r="H202">
        <f t="shared" si="6"/>
        <v>3700.2</v>
      </c>
      <c r="I202" t="str">
        <f t="shared" si="7"/>
        <v>April</v>
      </c>
    </row>
    <row r="203" spans="1:9" x14ac:dyDescent="0.3">
      <c r="A203" t="s">
        <v>237</v>
      </c>
      <c r="B203" t="s">
        <v>21</v>
      </c>
      <c r="C203" t="s">
        <v>13</v>
      </c>
      <c r="D203">
        <v>4</v>
      </c>
      <c r="E203">
        <v>25879.99</v>
      </c>
      <c r="F203" t="s">
        <v>50</v>
      </c>
      <c r="G203" s="1">
        <v>46084</v>
      </c>
      <c r="H203">
        <f t="shared" si="6"/>
        <v>103519.96</v>
      </c>
      <c r="I203" t="str">
        <f t="shared" si="7"/>
        <v>March</v>
      </c>
    </row>
    <row r="204" spans="1:9" x14ac:dyDescent="0.3">
      <c r="A204" t="s">
        <v>238</v>
      </c>
      <c r="B204" t="s">
        <v>21</v>
      </c>
      <c r="C204" t="s">
        <v>13</v>
      </c>
      <c r="D204">
        <v>2</v>
      </c>
      <c r="E204">
        <v>26940.2</v>
      </c>
      <c r="F204" t="s">
        <v>46</v>
      </c>
      <c r="G204" s="1">
        <v>46164</v>
      </c>
      <c r="H204">
        <f t="shared" si="6"/>
        <v>53880.4</v>
      </c>
      <c r="I204" t="str">
        <f t="shared" si="7"/>
        <v>May</v>
      </c>
    </row>
    <row r="205" spans="1:9" x14ac:dyDescent="0.3">
      <c r="A205" t="s">
        <v>239</v>
      </c>
      <c r="B205" t="s">
        <v>28</v>
      </c>
      <c r="C205" t="s">
        <v>9</v>
      </c>
      <c r="D205">
        <v>1</v>
      </c>
      <c r="E205">
        <v>4723.76</v>
      </c>
      <c r="F205" t="s">
        <v>18</v>
      </c>
      <c r="G205" s="1">
        <v>46141</v>
      </c>
      <c r="H205">
        <f t="shared" si="6"/>
        <v>4723.76</v>
      </c>
      <c r="I205" t="str">
        <f t="shared" si="7"/>
        <v>April</v>
      </c>
    </row>
    <row r="206" spans="1:9" x14ac:dyDescent="0.3">
      <c r="A206" t="s">
        <v>240</v>
      </c>
      <c r="B206" t="s">
        <v>31</v>
      </c>
      <c r="C206" t="s">
        <v>13</v>
      </c>
      <c r="D206">
        <v>2</v>
      </c>
      <c r="E206">
        <v>17994.150000000001</v>
      </c>
      <c r="F206" t="s">
        <v>10</v>
      </c>
      <c r="G206" s="1">
        <v>46153</v>
      </c>
      <c r="H206">
        <f t="shared" si="6"/>
        <v>35988.300000000003</v>
      </c>
      <c r="I206" t="str">
        <f t="shared" si="7"/>
        <v>May</v>
      </c>
    </row>
    <row r="207" spans="1:9" x14ac:dyDescent="0.3">
      <c r="A207" t="s">
        <v>241</v>
      </c>
      <c r="B207" t="s">
        <v>21</v>
      </c>
      <c r="C207" t="s">
        <v>13</v>
      </c>
      <c r="D207">
        <v>3</v>
      </c>
      <c r="E207">
        <v>27526.75</v>
      </c>
      <c r="F207" t="s">
        <v>22</v>
      </c>
      <c r="G207" s="1">
        <v>46143</v>
      </c>
      <c r="H207">
        <f t="shared" si="6"/>
        <v>82580.25</v>
      </c>
      <c r="I207" t="str">
        <f t="shared" si="7"/>
        <v>May</v>
      </c>
    </row>
    <row r="208" spans="1:9" x14ac:dyDescent="0.3">
      <c r="A208" t="s">
        <v>242</v>
      </c>
      <c r="B208" t="s">
        <v>12</v>
      </c>
      <c r="C208" t="s">
        <v>13</v>
      </c>
      <c r="D208">
        <v>4</v>
      </c>
      <c r="E208">
        <v>1515.38</v>
      </c>
      <c r="F208" t="s">
        <v>48</v>
      </c>
      <c r="G208" s="1">
        <v>46071</v>
      </c>
      <c r="H208">
        <f t="shared" si="6"/>
        <v>6061.52</v>
      </c>
      <c r="I208" t="str">
        <f t="shared" si="7"/>
        <v>February</v>
      </c>
    </row>
    <row r="209" spans="1:9" x14ac:dyDescent="0.3">
      <c r="A209" t="s">
        <v>243</v>
      </c>
      <c r="B209" t="s">
        <v>16</v>
      </c>
      <c r="C209" t="s">
        <v>17</v>
      </c>
      <c r="D209">
        <v>5</v>
      </c>
      <c r="E209">
        <v>472.17</v>
      </c>
      <c r="F209" t="s">
        <v>26</v>
      </c>
      <c r="G209" s="1">
        <v>46040</v>
      </c>
      <c r="H209">
        <f t="shared" si="6"/>
        <v>2360.85</v>
      </c>
      <c r="I209" t="str">
        <f t="shared" si="7"/>
        <v>January</v>
      </c>
    </row>
    <row r="210" spans="1:9" x14ac:dyDescent="0.3">
      <c r="A210" t="s">
        <v>244</v>
      </c>
      <c r="B210" t="s">
        <v>24</v>
      </c>
      <c r="C210" t="s">
        <v>25</v>
      </c>
      <c r="D210">
        <v>4</v>
      </c>
      <c r="E210">
        <v>773.41</v>
      </c>
      <c r="F210" t="s">
        <v>14</v>
      </c>
      <c r="G210" s="1">
        <v>46091</v>
      </c>
      <c r="H210">
        <f t="shared" si="6"/>
        <v>3093.64</v>
      </c>
      <c r="I210" t="str">
        <f t="shared" si="7"/>
        <v>March</v>
      </c>
    </row>
    <row r="211" spans="1:9" x14ac:dyDescent="0.3">
      <c r="A211" t="s">
        <v>245</v>
      </c>
      <c r="B211" t="s">
        <v>38</v>
      </c>
      <c r="C211" t="s">
        <v>39</v>
      </c>
      <c r="D211">
        <v>1</v>
      </c>
      <c r="E211">
        <v>6217.69</v>
      </c>
      <c r="F211" t="s">
        <v>10</v>
      </c>
      <c r="G211" s="1">
        <v>46173</v>
      </c>
      <c r="H211">
        <f t="shared" si="6"/>
        <v>6217.69</v>
      </c>
      <c r="I211" t="str">
        <f t="shared" si="7"/>
        <v>May</v>
      </c>
    </row>
    <row r="212" spans="1:9" x14ac:dyDescent="0.3">
      <c r="A212" t="s">
        <v>246</v>
      </c>
      <c r="B212" t="s">
        <v>16</v>
      </c>
      <c r="C212" t="s">
        <v>17</v>
      </c>
      <c r="D212">
        <v>4</v>
      </c>
      <c r="E212">
        <v>482.87</v>
      </c>
      <c r="F212" t="s">
        <v>22</v>
      </c>
      <c r="G212" s="1">
        <v>46160</v>
      </c>
      <c r="H212">
        <f t="shared" si="6"/>
        <v>1931.48</v>
      </c>
      <c r="I212" t="str">
        <f t="shared" si="7"/>
        <v>May</v>
      </c>
    </row>
    <row r="213" spans="1:9" x14ac:dyDescent="0.3">
      <c r="A213" t="s">
        <v>247</v>
      </c>
      <c r="B213" t="s">
        <v>44</v>
      </c>
      <c r="C213" t="s">
        <v>39</v>
      </c>
      <c r="D213">
        <v>3</v>
      </c>
      <c r="E213">
        <v>3382.71</v>
      </c>
      <c r="F213" t="s">
        <v>14</v>
      </c>
      <c r="G213" s="1">
        <v>46119</v>
      </c>
      <c r="H213">
        <f t="shared" si="6"/>
        <v>10148.130000000001</v>
      </c>
      <c r="I213" t="str">
        <f t="shared" si="7"/>
        <v>April</v>
      </c>
    </row>
    <row r="214" spans="1:9" x14ac:dyDescent="0.3">
      <c r="A214" t="s">
        <v>248</v>
      </c>
      <c r="B214" t="s">
        <v>44</v>
      </c>
      <c r="C214" t="s">
        <v>39</v>
      </c>
      <c r="D214">
        <v>3</v>
      </c>
      <c r="E214">
        <v>3758.72</v>
      </c>
      <c r="F214" t="s">
        <v>29</v>
      </c>
      <c r="G214" s="1">
        <v>46169</v>
      </c>
      <c r="H214">
        <f t="shared" si="6"/>
        <v>11276.16</v>
      </c>
      <c r="I214" t="str">
        <f t="shared" si="7"/>
        <v>May</v>
      </c>
    </row>
    <row r="215" spans="1:9" x14ac:dyDescent="0.3">
      <c r="A215" t="s">
        <v>249</v>
      </c>
      <c r="B215" t="s">
        <v>28</v>
      </c>
      <c r="C215" t="s">
        <v>9</v>
      </c>
      <c r="D215">
        <v>2</v>
      </c>
      <c r="E215">
        <v>5354.94</v>
      </c>
      <c r="F215" t="s">
        <v>48</v>
      </c>
      <c r="G215" s="1">
        <v>46034</v>
      </c>
      <c r="H215">
        <f t="shared" si="6"/>
        <v>10709.88</v>
      </c>
      <c r="I215" t="str">
        <f t="shared" si="7"/>
        <v>January</v>
      </c>
    </row>
    <row r="216" spans="1:9" x14ac:dyDescent="0.3">
      <c r="A216" t="s">
        <v>250</v>
      </c>
      <c r="B216" t="s">
        <v>55</v>
      </c>
      <c r="C216" t="s">
        <v>25</v>
      </c>
      <c r="D216">
        <v>4</v>
      </c>
      <c r="E216">
        <v>2601.5700000000002</v>
      </c>
      <c r="F216" t="s">
        <v>48</v>
      </c>
      <c r="G216" s="1">
        <v>46121</v>
      </c>
      <c r="H216">
        <f t="shared" si="6"/>
        <v>10406.280000000001</v>
      </c>
      <c r="I216" t="str">
        <f t="shared" si="7"/>
        <v>April</v>
      </c>
    </row>
    <row r="217" spans="1:9" x14ac:dyDescent="0.3">
      <c r="A217" t="s">
        <v>251</v>
      </c>
      <c r="B217" t="s">
        <v>8</v>
      </c>
      <c r="C217" t="s">
        <v>9</v>
      </c>
      <c r="D217">
        <v>2</v>
      </c>
      <c r="E217">
        <v>1798.32</v>
      </c>
      <c r="F217" t="s">
        <v>46</v>
      </c>
      <c r="G217" s="1">
        <v>46055</v>
      </c>
      <c r="H217">
        <f t="shared" si="6"/>
        <v>3596.64</v>
      </c>
      <c r="I217" t="str">
        <f t="shared" si="7"/>
        <v>February</v>
      </c>
    </row>
    <row r="218" spans="1:9" x14ac:dyDescent="0.3">
      <c r="A218" t="s">
        <v>252</v>
      </c>
      <c r="B218" t="s">
        <v>80</v>
      </c>
      <c r="C218" t="s">
        <v>39</v>
      </c>
      <c r="D218">
        <v>5</v>
      </c>
      <c r="E218">
        <v>4058.88</v>
      </c>
      <c r="F218" t="s">
        <v>18</v>
      </c>
      <c r="G218" s="1">
        <v>46135</v>
      </c>
      <c r="H218">
        <f t="shared" si="6"/>
        <v>20294.400000000001</v>
      </c>
      <c r="I218" t="str">
        <f t="shared" si="7"/>
        <v>April</v>
      </c>
    </row>
    <row r="219" spans="1:9" x14ac:dyDescent="0.3">
      <c r="A219" t="s">
        <v>253</v>
      </c>
      <c r="B219" t="s">
        <v>31</v>
      </c>
      <c r="C219" t="s">
        <v>13</v>
      </c>
      <c r="D219">
        <v>5</v>
      </c>
      <c r="E219">
        <v>19477.59</v>
      </c>
      <c r="F219" t="s">
        <v>46</v>
      </c>
      <c r="G219" s="1">
        <v>46059</v>
      </c>
      <c r="H219">
        <f t="shared" si="6"/>
        <v>97387.95</v>
      </c>
      <c r="I219" t="str">
        <f t="shared" si="7"/>
        <v>February</v>
      </c>
    </row>
    <row r="220" spans="1:9" x14ac:dyDescent="0.3">
      <c r="A220" t="s">
        <v>254</v>
      </c>
      <c r="B220" t="s">
        <v>28</v>
      </c>
      <c r="C220" t="s">
        <v>9</v>
      </c>
      <c r="D220">
        <v>2</v>
      </c>
      <c r="E220">
        <v>4573.91</v>
      </c>
      <c r="F220" t="s">
        <v>10</v>
      </c>
      <c r="G220" s="1">
        <v>46109</v>
      </c>
      <c r="H220">
        <f t="shared" si="6"/>
        <v>9147.82</v>
      </c>
      <c r="I220" t="str">
        <f t="shared" si="7"/>
        <v>March</v>
      </c>
    </row>
    <row r="221" spans="1:9" x14ac:dyDescent="0.3">
      <c r="A221" t="s">
        <v>255</v>
      </c>
      <c r="B221" t="s">
        <v>16</v>
      </c>
      <c r="C221" t="s">
        <v>17</v>
      </c>
      <c r="D221">
        <v>4</v>
      </c>
      <c r="E221">
        <v>463.49</v>
      </c>
      <c r="F221" t="s">
        <v>32</v>
      </c>
      <c r="G221" s="1">
        <v>46195</v>
      </c>
      <c r="H221">
        <f t="shared" si="6"/>
        <v>1853.96</v>
      </c>
      <c r="I221" t="str">
        <f t="shared" si="7"/>
        <v>June</v>
      </c>
    </row>
    <row r="222" spans="1:9" x14ac:dyDescent="0.3">
      <c r="A222" t="s">
        <v>256</v>
      </c>
      <c r="B222" t="s">
        <v>38</v>
      </c>
      <c r="C222" t="s">
        <v>39</v>
      </c>
      <c r="D222">
        <v>5</v>
      </c>
      <c r="E222">
        <v>6344.01</v>
      </c>
      <c r="F222" t="s">
        <v>32</v>
      </c>
      <c r="G222" s="1">
        <v>46183</v>
      </c>
      <c r="H222">
        <f t="shared" si="6"/>
        <v>31720.050000000003</v>
      </c>
      <c r="I222" t="str">
        <f t="shared" si="7"/>
        <v>June</v>
      </c>
    </row>
    <row r="223" spans="1:9" x14ac:dyDescent="0.3">
      <c r="A223" t="s">
        <v>257</v>
      </c>
      <c r="B223" t="s">
        <v>21</v>
      </c>
      <c r="C223" t="s">
        <v>13</v>
      </c>
      <c r="D223">
        <v>4</v>
      </c>
      <c r="E223">
        <v>30085.34</v>
      </c>
      <c r="F223" t="s">
        <v>46</v>
      </c>
      <c r="G223" s="1">
        <v>46181</v>
      </c>
      <c r="H223">
        <f t="shared" si="6"/>
        <v>120341.36</v>
      </c>
      <c r="I223" t="str">
        <f t="shared" si="7"/>
        <v>June</v>
      </c>
    </row>
    <row r="224" spans="1:9" x14ac:dyDescent="0.3">
      <c r="A224" t="s">
        <v>258</v>
      </c>
      <c r="B224" t="s">
        <v>31</v>
      </c>
      <c r="C224" t="s">
        <v>13</v>
      </c>
      <c r="D224">
        <v>2</v>
      </c>
      <c r="E224">
        <v>18472.18</v>
      </c>
      <c r="F224" t="s">
        <v>10</v>
      </c>
      <c r="G224" s="1">
        <v>46081</v>
      </c>
      <c r="H224">
        <f t="shared" si="6"/>
        <v>36944.36</v>
      </c>
      <c r="I224" t="str">
        <f t="shared" si="7"/>
        <v>February</v>
      </c>
    </row>
    <row r="225" spans="1:9" x14ac:dyDescent="0.3">
      <c r="A225" t="s">
        <v>259</v>
      </c>
      <c r="B225" t="s">
        <v>21</v>
      </c>
      <c r="C225" t="s">
        <v>13</v>
      </c>
      <c r="D225">
        <v>1</v>
      </c>
      <c r="E225">
        <v>27630.240000000002</v>
      </c>
      <c r="F225" t="s">
        <v>18</v>
      </c>
      <c r="G225" s="1">
        <v>46185</v>
      </c>
      <c r="H225">
        <f t="shared" si="6"/>
        <v>27630.240000000002</v>
      </c>
      <c r="I225" t="str">
        <f t="shared" si="7"/>
        <v>June</v>
      </c>
    </row>
    <row r="226" spans="1:9" x14ac:dyDescent="0.3">
      <c r="A226" t="s">
        <v>260</v>
      </c>
      <c r="B226" t="s">
        <v>21</v>
      </c>
      <c r="C226" t="s">
        <v>13</v>
      </c>
      <c r="D226">
        <v>1</v>
      </c>
      <c r="E226">
        <v>27684.6</v>
      </c>
      <c r="F226" t="s">
        <v>10</v>
      </c>
      <c r="G226" s="1">
        <v>46030</v>
      </c>
      <c r="H226">
        <f t="shared" si="6"/>
        <v>27684.6</v>
      </c>
      <c r="I226" t="str">
        <f t="shared" si="7"/>
        <v>January</v>
      </c>
    </row>
    <row r="227" spans="1:9" x14ac:dyDescent="0.3">
      <c r="A227" t="s">
        <v>261</v>
      </c>
      <c r="B227" t="s">
        <v>91</v>
      </c>
      <c r="C227" t="s">
        <v>13</v>
      </c>
      <c r="D227">
        <v>3</v>
      </c>
      <c r="E227">
        <v>58257.58</v>
      </c>
      <c r="F227" t="s">
        <v>10</v>
      </c>
      <c r="G227" s="1">
        <v>46114</v>
      </c>
      <c r="H227">
        <f t="shared" si="6"/>
        <v>174772.74</v>
      </c>
      <c r="I227" t="str">
        <f t="shared" si="7"/>
        <v>April</v>
      </c>
    </row>
    <row r="228" spans="1:9" x14ac:dyDescent="0.3">
      <c r="A228" t="s">
        <v>262</v>
      </c>
      <c r="B228" t="s">
        <v>55</v>
      </c>
      <c r="C228" t="s">
        <v>25</v>
      </c>
      <c r="D228">
        <v>4</v>
      </c>
      <c r="E228">
        <v>2321.86</v>
      </c>
      <c r="F228" t="s">
        <v>14</v>
      </c>
      <c r="G228" s="1">
        <v>46128</v>
      </c>
      <c r="H228">
        <f t="shared" si="6"/>
        <v>9287.44</v>
      </c>
      <c r="I228" t="str">
        <f t="shared" si="7"/>
        <v>April</v>
      </c>
    </row>
    <row r="229" spans="1:9" x14ac:dyDescent="0.3">
      <c r="A229" t="s">
        <v>263</v>
      </c>
      <c r="B229" t="s">
        <v>16</v>
      </c>
      <c r="C229" t="s">
        <v>17</v>
      </c>
      <c r="D229">
        <v>2</v>
      </c>
      <c r="E229">
        <v>420.3</v>
      </c>
      <c r="F229" t="s">
        <v>18</v>
      </c>
      <c r="G229" s="1">
        <v>46179</v>
      </c>
      <c r="H229">
        <f t="shared" si="6"/>
        <v>840.6</v>
      </c>
      <c r="I229" t="str">
        <f t="shared" si="7"/>
        <v>June</v>
      </c>
    </row>
    <row r="230" spans="1:9" x14ac:dyDescent="0.3">
      <c r="A230" t="s">
        <v>264</v>
      </c>
      <c r="B230" t="s">
        <v>38</v>
      </c>
      <c r="C230" t="s">
        <v>39</v>
      </c>
      <c r="D230">
        <v>4</v>
      </c>
      <c r="E230">
        <v>6655.62</v>
      </c>
      <c r="F230" t="s">
        <v>29</v>
      </c>
      <c r="G230" s="1">
        <v>46150</v>
      </c>
      <c r="H230">
        <f t="shared" si="6"/>
        <v>26622.48</v>
      </c>
      <c r="I230" t="str">
        <f t="shared" si="7"/>
        <v>May</v>
      </c>
    </row>
    <row r="231" spans="1:9" x14ac:dyDescent="0.3">
      <c r="A231" t="s">
        <v>265</v>
      </c>
      <c r="B231" t="s">
        <v>16</v>
      </c>
      <c r="C231" t="s">
        <v>17</v>
      </c>
      <c r="D231">
        <v>2</v>
      </c>
      <c r="E231">
        <v>425.9</v>
      </c>
      <c r="F231" t="s">
        <v>10</v>
      </c>
      <c r="G231" s="1">
        <v>46140</v>
      </c>
      <c r="H231">
        <f t="shared" si="6"/>
        <v>851.8</v>
      </c>
      <c r="I231" t="str">
        <f t="shared" si="7"/>
        <v>April</v>
      </c>
    </row>
    <row r="232" spans="1:9" x14ac:dyDescent="0.3">
      <c r="A232" t="s">
        <v>266</v>
      </c>
      <c r="B232" t="s">
        <v>24</v>
      </c>
      <c r="C232" t="s">
        <v>25</v>
      </c>
      <c r="D232">
        <v>1</v>
      </c>
      <c r="E232">
        <v>862.75</v>
      </c>
      <c r="F232" t="s">
        <v>22</v>
      </c>
      <c r="G232" s="1">
        <v>46096</v>
      </c>
      <c r="H232">
        <f t="shared" si="6"/>
        <v>862.75</v>
      </c>
      <c r="I232" t="str">
        <f t="shared" si="7"/>
        <v>March</v>
      </c>
    </row>
    <row r="233" spans="1:9" x14ac:dyDescent="0.3">
      <c r="A233" t="s">
        <v>267</v>
      </c>
      <c r="B233" t="s">
        <v>8</v>
      </c>
      <c r="C233" t="s">
        <v>9</v>
      </c>
      <c r="D233">
        <v>5</v>
      </c>
      <c r="E233">
        <v>1676.87</v>
      </c>
      <c r="F233" t="s">
        <v>22</v>
      </c>
      <c r="G233" s="1">
        <v>46111</v>
      </c>
      <c r="H233">
        <f t="shared" si="6"/>
        <v>8384.3499999999985</v>
      </c>
      <c r="I233" t="str">
        <f t="shared" si="7"/>
        <v>March</v>
      </c>
    </row>
    <row r="234" spans="1:9" x14ac:dyDescent="0.3">
      <c r="A234" t="s">
        <v>268</v>
      </c>
      <c r="B234" t="s">
        <v>16</v>
      </c>
      <c r="C234" t="s">
        <v>17</v>
      </c>
      <c r="D234">
        <v>3</v>
      </c>
      <c r="E234">
        <v>462.5</v>
      </c>
      <c r="F234" t="s">
        <v>48</v>
      </c>
      <c r="G234" s="1">
        <v>46199</v>
      </c>
      <c r="H234">
        <f t="shared" si="6"/>
        <v>1387.5</v>
      </c>
      <c r="I234" t="str">
        <f t="shared" si="7"/>
        <v>June</v>
      </c>
    </row>
    <row r="235" spans="1:9" x14ac:dyDescent="0.3">
      <c r="A235" t="s">
        <v>269</v>
      </c>
      <c r="B235" t="s">
        <v>24</v>
      </c>
      <c r="C235" t="s">
        <v>25</v>
      </c>
      <c r="D235">
        <v>4</v>
      </c>
      <c r="E235">
        <v>854.18</v>
      </c>
      <c r="F235" t="s">
        <v>29</v>
      </c>
      <c r="G235" s="1">
        <v>46121</v>
      </c>
      <c r="H235">
        <f t="shared" si="6"/>
        <v>3416.72</v>
      </c>
      <c r="I235" t="str">
        <f t="shared" si="7"/>
        <v>April</v>
      </c>
    </row>
    <row r="236" spans="1:9" x14ac:dyDescent="0.3">
      <c r="A236" t="s">
        <v>270</v>
      </c>
      <c r="B236" t="s">
        <v>38</v>
      </c>
      <c r="C236" t="s">
        <v>39</v>
      </c>
      <c r="D236">
        <v>4</v>
      </c>
      <c r="E236">
        <v>5988.65</v>
      </c>
      <c r="F236" t="s">
        <v>48</v>
      </c>
      <c r="G236" s="1">
        <v>46169</v>
      </c>
      <c r="H236">
        <f t="shared" si="6"/>
        <v>23954.6</v>
      </c>
      <c r="I236" t="str">
        <f t="shared" si="7"/>
        <v>May</v>
      </c>
    </row>
    <row r="237" spans="1:9" x14ac:dyDescent="0.3">
      <c r="A237" t="s">
        <v>271</v>
      </c>
      <c r="B237" t="s">
        <v>55</v>
      </c>
      <c r="C237" t="s">
        <v>25</v>
      </c>
      <c r="D237">
        <v>5</v>
      </c>
      <c r="E237">
        <v>2396.98</v>
      </c>
      <c r="F237" t="s">
        <v>10</v>
      </c>
      <c r="G237" s="1">
        <v>46028</v>
      </c>
      <c r="H237">
        <f t="shared" si="6"/>
        <v>11984.9</v>
      </c>
      <c r="I237" t="str">
        <f t="shared" si="7"/>
        <v>January</v>
      </c>
    </row>
    <row r="238" spans="1:9" x14ac:dyDescent="0.3">
      <c r="A238" t="s">
        <v>272</v>
      </c>
      <c r="B238" t="s">
        <v>38</v>
      </c>
      <c r="C238" t="s">
        <v>39</v>
      </c>
      <c r="D238">
        <v>4</v>
      </c>
      <c r="E238">
        <v>6206.82</v>
      </c>
      <c r="F238" t="s">
        <v>50</v>
      </c>
      <c r="G238" s="1">
        <v>46198</v>
      </c>
      <c r="H238">
        <f t="shared" si="6"/>
        <v>24827.279999999999</v>
      </c>
      <c r="I238" t="str">
        <f t="shared" si="7"/>
        <v>June</v>
      </c>
    </row>
    <row r="239" spans="1:9" x14ac:dyDescent="0.3">
      <c r="A239" t="s">
        <v>273</v>
      </c>
      <c r="B239" t="s">
        <v>62</v>
      </c>
      <c r="C239" t="s">
        <v>25</v>
      </c>
      <c r="D239">
        <v>1</v>
      </c>
      <c r="E239">
        <v>2163.16</v>
      </c>
      <c r="F239" t="s">
        <v>22</v>
      </c>
      <c r="G239" s="1">
        <v>46096</v>
      </c>
      <c r="H239">
        <f t="shared" si="6"/>
        <v>2163.16</v>
      </c>
      <c r="I239" t="str">
        <f t="shared" si="7"/>
        <v>March</v>
      </c>
    </row>
    <row r="240" spans="1:9" x14ac:dyDescent="0.3">
      <c r="A240" t="s">
        <v>274</v>
      </c>
      <c r="B240" t="s">
        <v>62</v>
      </c>
      <c r="C240" t="s">
        <v>25</v>
      </c>
      <c r="D240">
        <v>2</v>
      </c>
      <c r="E240">
        <v>2041.8</v>
      </c>
      <c r="F240" t="s">
        <v>32</v>
      </c>
      <c r="G240" s="1">
        <v>46079</v>
      </c>
      <c r="H240">
        <f t="shared" si="6"/>
        <v>4083.6</v>
      </c>
      <c r="I240" t="str">
        <f t="shared" si="7"/>
        <v>February</v>
      </c>
    </row>
    <row r="241" spans="1:9" x14ac:dyDescent="0.3">
      <c r="A241" t="s">
        <v>275</v>
      </c>
      <c r="B241" t="s">
        <v>8</v>
      </c>
      <c r="C241" t="s">
        <v>9</v>
      </c>
      <c r="D241">
        <v>2</v>
      </c>
      <c r="E241">
        <v>1843.52</v>
      </c>
      <c r="F241" t="s">
        <v>26</v>
      </c>
      <c r="G241" s="1">
        <v>46183</v>
      </c>
      <c r="H241">
        <f t="shared" si="6"/>
        <v>3687.04</v>
      </c>
      <c r="I241" t="str">
        <f t="shared" si="7"/>
        <v>June</v>
      </c>
    </row>
    <row r="242" spans="1:9" x14ac:dyDescent="0.3">
      <c r="A242" t="s">
        <v>276</v>
      </c>
      <c r="B242" t="s">
        <v>31</v>
      </c>
      <c r="C242" t="s">
        <v>13</v>
      </c>
      <c r="D242">
        <v>1</v>
      </c>
      <c r="E242">
        <v>17312.16</v>
      </c>
      <c r="F242" t="s">
        <v>22</v>
      </c>
      <c r="G242" s="1">
        <v>46031</v>
      </c>
      <c r="H242">
        <f t="shared" si="6"/>
        <v>17312.16</v>
      </c>
      <c r="I242" t="str">
        <f t="shared" si="7"/>
        <v>January</v>
      </c>
    </row>
    <row r="243" spans="1:9" x14ac:dyDescent="0.3">
      <c r="A243" t="s">
        <v>277</v>
      </c>
      <c r="B243" t="s">
        <v>16</v>
      </c>
      <c r="C243" t="s">
        <v>17</v>
      </c>
      <c r="D243">
        <v>3</v>
      </c>
      <c r="E243">
        <v>470.91</v>
      </c>
      <c r="F243" t="s">
        <v>18</v>
      </c>
      <c r="G243" s="1">
        <v>46098</v>
      </c>
      <c r="H243">
        <f t="shared" si="6"/>
        <v>1412.73</v>
      </c>
      <c r="I243" t="str">
        <f t="shared" si="7"/>
        <v>March</v>
      </c>
    </row>
    <row r="244" spans="1:9" x14ac:dyDescent="0.3">
      <c r="A244" t="s">
        <v>278</v>
      </c>
      <c r="B244" t="s">
        <v>55</v>
      </c>
      <c r="C244" t="s">
        <v>25</v>
      </c>
      <c r="D244">
        <v>4</v>
      </c>
      <c r="E244">
        <v>2336.88</v>
      </c>
      <c r="F244" t="s">
        <v>26</v>
      </c>
      <c r="G244" s="1">
        <v>46161</v>
      </c>
      <c r="H244">
        <f t="shared" si="6"/>
        <v>9347.52</v>
      </c>
      <c r="I244" t="str">
        <f t="shared" si="7"/>
        <v>May</v>
      </c>
    </row>
    <row r="245" spans="1:9" x14ac:dyDescent="0.3">
      <c r="A245" t="s">
        <v>279</v>
      </c>
      <c r="B245" t="s">
        <v>55</v>
      </c>
      <c r="C245" t="s">
        <v>25</v>
      </c>
      <c r="D245">
        <v>5</v>
      </c>
      <c r="E245">
        <v>2499.9</v>
      </c>
      <c r="F245" t="s">
        <v>10</v>
      </c>
      <c r="G245" s="1">
        <v>46065</v>
      </c>
      <c r="H245">
        <f t="shared" si="6"/>
        <v>12499.5</v>
      </c>
      <c r="I245" t="str">
        <f t="shared" si="7"/>
        <v>February</v>
      </c>
    </row>
    <row r="246" spans="1:9" x14ac:dyDescent="0.3">
      <c r="A246" t="s">
        <v>280</v>
      </c>
      <c r="B246" t="s">
        <v>24</v>
      </c>
      <c r="C246" t="s">
        <v>25</v>
      </c>
      <c r="D246">
        <v>4</v>
      </c>
      <c r="E246">
        <v>873.69</v>
      </c>
      <c r="F246" t="s">
        <v>10</v>
      </c>
      <c r="G246" s="1">
        <v>46109</v>
      </c>
      <c r="H246">
        <f t="shared" si="6"/>
        <v>3494.76</v>
      </c>
      <c r="I246" t="str">
        <f t="shared" si="7"/>
        <v>March</v>
      </c>
    </row>
    <row r="247" spans="1:9" x14ac:dyDescent="0.3">
      <c r="A247" t="s">
        <v>281</v>
      </c>
      <c r="B247" t="s">
        <v>62</v>
      </c>
      <c r="C247" t="s">
        <v>25</v>
      </c>
      <c r="D247">
        <v>1</v>
      </c>
      <c r="E247">
        <v>1986.34</v>
      </c>
      <c r="F247" t="s">
        <v>18</v>
      </c>
      <c r="G247" s="1">
        <v>46059</v>
      </c>
      <c r="H247">
        <f t="shared" si="6"/>
        <v>1986.34</v>
      </c>
      <c r="I247" t="str">
        <f t="shared" si="7"/>
        <v>February</v>
      </c>
    </row>
    <row r="248" spans="1:9" x14ac:dyDescent="0.3">
      <c r="A248" t="s">
        <v>282</v>
      </c>
      <c r="B248" t="s">
        <v>62</v>
      </c>
      <c r="C248" t="s">
        <v>25</v>
      </c>
      <c r="D248">
        <v>2</v>
      </c>
      <c r="E248">
        <v>2142.98</v>
      </c>
      <c r="F248" t="s">
        <v>48</v>
      </c>
      <c r="G248" s="1">
        <v>46165</v>
      </c>
      <c r="H248">
        <f t="shared" si="6"/>
        <v>4285.96</v>
      </c>
      <c r="I248" t="str">
        <f t="shared" si="7"/>
        <v>May</v>
      </c>
    </row>
    <row r="249" spans="1:9" x14ac:dyDescent="0.3">
      <c r="A249" t="s">
        <v>283</v>
      </c>
      <c r="B249" t="s">
        <v>55</v>
      </c>
      <c r="C249" t="s">
        <v>25</v>
      </c>
      <c r="D249">
        <v>1</v>
      </c>
      <c r="E249">
        <v>2644.28</v>
      </c>
      <c r="F249" t="s">
        <v>46</v>
      </c>
      <c r="G249" s="1">
        <v>46090</v>
      </c>
      <c r="H249">
        <f t="shared" si="6"/>
        <v>2644.28</v>
      </c>
      <c r="I249" t="str">
        <f t="shared" si="7"/>
        <v>March</v>
      </c>
    </row>
    <row r="250" spans="1:9" x14ac:dyDescent="0.3">
      <c r="A250" t="s">
        <v>284</v>
      </c>
      <c r="B250" t="s">
        <v>80</v>
      </c>
      <c r="C250" t="s">
        <v>39</v>
      </c>
      <c r="D250">
        <v>1</v>
      </c>
      <c r="E250">
        <v>4162.0200000000004</v>
      </c>
      <c r="F250" t="s">
        <v>10</v>
      </c>
      <c r="G250" s="1">
        <v>46172</v>
      </c>
      <c r="H250">
        <f t="shared" si="6"/>
        <v>4162.0200000000004</v>
      </c>
      <c r="I250" t="str">
        <f t="shared" si="7"/>
        <v>May</v>
      </c>
    </row>
    <row r="251" spans="1:9" x14ac:dyDescent="0.3">
      <c r="A251" t="s">
        <v>285</v>
      </c>
      <c r="B251" t="s">
        <v>28</v>
      </c>
      <c r="C251" t="s">
        <v>9</v>
      </c>
      <c r="D251">
        <v>3</v>
      </c>
      <c r="E251">
        <v>4607.42</v>
      </c>
      <c r="F251" t="s">
        <v>29</v>
      </c>
      <c r="G251" s="1">
        <v>46143</v>
      </c>
      <c r="H251">
        <f t="shared" si="6"/>
        <v>13822.26</v>
      </c>
      <c r="I251" t="str">
        <f t="shared" si="7"/>
        <v>May</v>
      </c>
    </row>
    <row r="252" spans="1:9" x14ac:dyDescent="0.3">
      <c r="A252" t="s">
        <v>286</v>
      </c>
      <c r="B252" t="s">
        <v>91</v>
      </c>
      <c r="C252" t="s">
        <v>13</v>
      </c>
      <c r="D252">
        <v>5</v>
      </c>
      <c r="E252">
        <v>59226.58</v>
      </c>
      <c r="F252" t="s">
        <v>14</v>
      </c>
      <c r="G252" s="1">
        <v>46106</v>
      </c>
      <c r="H252">
        <f t="shared" si="6"/>
        <v>296132.90000000002</v>
      </c>
      <c r="I252" t="str">
        <f t="shared" si="7"/>
        <v>March</v>
      </c>
    </row>
    <row r="253" spans="1:9" x14ac:dyDescent="0.3">
      <c r="A253" t="s">
        <v>287</v>
      </c>
      <c r="B253" t="s">
        <v>16</v>
      </c>
      <c r="C253" t="s">
        <v>17</v>
      </c>
      <c r="D253">
        <v>2</v>
      </c>
      <c r="E253">
        <v>463.29</v>
      </c>
      <c r="F253" t="s">
        <v>22</v>
      </c>
      <c r="G253" s="1">
        <v>46202</v>
      </c>
      <c r="H253">
        <f t="shared" si="6"/>
        <v>926.58</v>
      </c>
      <c r="I253" t="str">
        <f t="shared" si="7"/>
        <v>June</v>
      </c>
    </row>
    <row r="254" spans="1:9" x14ac:dyDescent="0.3">
      <c r="A254" t="s">
        <v>288</v>
      </c>
      <c r="B254" t="s">
        <v>24</v>
      </c>
      <c r="C254" t="s">
        <v>25</v>
      </c>
      <c r="D254">
        <v>4</v>
      </c>
      <c r="E254">
        <v>737.74</v>
      </c>
      <c r="F254" t="s">
        <v>46</v>
      </c>
      <c r="G254" s="1">
        <v>46032</v>
      </c>
      <c r="H254">
        <f t="shared" si="6"/>
        <v>2950.96</v>
      </c>
      <c r="I254" t="str">
        <f t="shared" si="7"/>
        <v>January</v>
      </c>
    </row>
    <row r="255" spans="1:9" x14ac:dyDescent="0.3">
      <c r="A255" t="s">
        <v>289</v>
      </c>
      <c r="B255" t="s">
        <v>24</v>
      </c>
      <c r="C255" t="s">
        <v>25</v>
      </c>
      <c r="D255">
        <v>4</v>
      </c>
      <c r="E255">
        <v>737.66</v>
      </c>
      <c r="F255" t="s">
        <v>29</v>
      </c>
      <c r="G255" s="1">
        <v>46160</v>
      </c>
      <c r="H255">
        <f t="shared" si="6"/>
        <v>2950.64</v>
      </c>
      <c r="I255" t="str">
        <f t="shared" si="7"/>
        <v>May</v>
      </c>
    </row>
    <row r="256" spans="1:9" x14ac:dyDescent="0.3">
      <c r="A256" t="s">
        <v>290</v>
      </c>
      <c r="B256" t="s">
        <v>72</v>
      </c>
      <c r="C256" t="s">
        <v>13</v>
      </c>
      <c r="D256">
        <v>4</v>
      </c>
      <c r="E256">
        <v>2179.6</v>
      </c>
      <c r="F256" t="s">
        <v>14</v>
      </c>
      <c r="G256" s="1">
        <v>46130</v>
      </c>
      <c r="H256">
        <f t="shared" si="6"/>
        <v>8718.4</v>
      </c>
      <c r="I256" t="str">
        <f t="shared" si="7"/>
        <v>April</v>
      </c>
    </row>
    <row r="257" spans="1:9" x14ac:dyDescent="0.3">
      <c r="A257" t="s">
        <v>291</v>
      </c>
      <c r="B257" t="s">
        <v>16</v>
      </c>
      <c r="C257" t="s">
        <v>17</v>
      </c>
      <c r="D257">
        <v>2</v>
      </c>
      <c r="E257">
        <v>484.69</v>
      </c>
      <c r="F257" t="s">
        <v>18</v>
      </c>
      <c r="G257" s="1">
        <v>46148</v>
      </c>
      <c r="H257">
        <f t="shared" si="6"/>
        <v>969.38</v>
      </c>
      <c r="I257" t="str">
        <f t="shared" si="7"/>
        <v>May</v>
      </c>
    </row>
    <row r="258" spans="1:9" x14ac:dyDescent="0.3">
      <c r="A258" t="s">
        <v>292</v>
      </c>
      <c r="B258" t="s">
        <v>16</v>
      </c>
      <c r="C258" t="s">
        <v>17</v>
      </c>
      <c r="D258">
        <v>4</v>
      </c>
      <c r="E258">
        <v>489.51</v>
      </c>
      <c r="F258" t="s">
        <v>10</v>
      </c>
      <c r="G258" s="1">
        <v>46031</v>
      </c>
      <c r="H258">
        <f t="shared" si="6"/>
        <v>1958.04</v>
      </c>
      <c r="I258" t="str">
        <f t="shared" si="7"/>
        <v>January</v>
      </c>
    </row>
    <row r="259" spans="1:9" x14ac:dyDescent="0.3">
      <c r="A259" t="s">
        <v>293</v>
      </c>
      <c r="B259" t="s">
        <v>21</v>
      </c>
      <c r="C259" t="s">
        <v>13</v>
      </c>
      <c r="D259">
        <v>3</v>
      </c>
      <c r="E259">
        <v>26416.71</v>
      </c>
      <c r="F259" t="s">
        <v>22</v>
      </c>
      <c r="G259" s="1">
        <v>46083</v>
      </c>
      <c r="H259">
        <f t="shared" ref="H259:H322" si="8">D259*E259</f>
        <v>79250.13</v>
      </c>
      <c r="I259" t="str">
        <f t="shared" ref="I259:I322" si="9">TEXT(G259, "mmmm")</f>
        <v>March</v>
      </c>
    </row>
    <row r="260" spans="1:9" x14ac:dyDescent="0.3">
      <c r="A260" t="s">
        <v>294</v>
      </c>
      <c r="B260" t="s">
        <v>38</v>
      </c>
      <c r="C260" t="s">
        <v>39</v>
      </c>
      <c r="D260">
        <v>3</v>
      </c>
      <c r="E260">
        <v>5979.16</v>
      </c>
      <c r="F260" t="s">
        <v>32</v>
      </c>
      <c r="G260" s="1">
        <v>46162</v>
      </c>
      <c r="H260">
        <f t="shared" si="8"/>
        <v>17937.48</v>
      </c>
      <c r="I260" t="str">
        <f t="shared" si="9"/>
        <v>May</v>
      </c>
    </row>
    <row r="261" spans="1:9" x14ac:dyDescent="0.3">
      <c r="A261" t="s">
        <v>295</v>
      </c>
      <c r="B261" t="s">
        <v>8</v>
      </c>
      <c r="C261" t="s">
        <v>9</v>
      </c>
      <c r="D261">
        <v>3</v>
      </c>
      <c r="E261">
        <v>1641.8</v>
      </c>
      <c r="F261" t="s">
        <v>10</v>
      </c>
      <c r="G261" s="1">
        <v>46071</v>
      </c>
      <c r="H261">
        <f t="shared" si="8"/>
        <v>4925.3999999999996</v>
      </c>
      <c r="I261" t="str">
        <f t="shared" si="9"/>
        <v>February</v>
      </c>
    </row>
    <row r="262" spans="1:9" x14ac:dyDescent="0.3">
      <c r="A262" t="s">
        <v>296</v>
      </c>
      <c r="B262" t="s">
        <v>31</v>
      </c>
      <c r="C262" t="s">
        <v>13</v>
      </c>
      <c r="D262">
        <v>4</v>
      </c>
      <c r="E262">
        <v>16530.02</v>
      </c>
      <c r="F262" t="s">
        <v>29</v>
      </c>
      <c r="G262" s="1">
        <v>46187</v>
      </c>
      <c r="H262">
        <f t="shared" si="8"/>
        <v>66120.08</v>
      </c>
      <c r="I262" t="str">
        <f t="shared" si="9"/>
        <v>June</v>
      </c>
    </row>
    <row r="263" spans="1:9" x14ac:dyDescent="0.3">
      <c r="A263" t="s">
        <v>297</v>
      </c>
      <c r="B263" t="s">
        <v>8</v>
      </c>
      <c r="C263" t="s">
        <v>9</v>
      </c>
      <c r="D263">
        <v>5</v>
      </c>
      <c r="E263">
        <v>1969.59</v>
      </c>
      <c r="F263" t="s">
        <v>46</v>
      </c>
      <c r="G263" s="1">
        <v>46108</v>
      </c>
      <c r="H263">
        <f t="shared" si="8"/>
        <v>9847.9499999999989</v>
      </c>
      <c r="I263" t="str">
        <f t="shared" si="9"/>
        <v>March</v>
      </c>
    </row>
    <row r="264" spans="1:9" x14ac:dyDescent="0.3">
      <c r="A264" t="s">
        <v>298</v>
      </c>
      <c r="B264" t="s">
        <v>12</v>
      </c>
      <c r="C264" t="s">
        <v>13</v>
      </c>
      <c r="D264">
        <v>2</v>
      </c>
      <c r="E264">
        <v>1586.09</v>
      </c>
      <c r="F264" t="s">
        <v>29</v>
      </c>
      <c r="G264" s="1">
        <v>46040</v>
      </c>
      <c r="H264">
        <f t="shared" si="8"/>
        <v>3172.18</v>
      </c>
      <c r="I264" t="str">
        <f t="shared" si="9"/>
        <v>January</v>
      </c>
    </row>
    <row r="265" spans="1:9" x14ac:dyDescent="0.3">
      <c r="A265" t="s">
        <v>299</v>
      </c>
      <c r="B265" t="s">
        <v>38</v>
      </c>
      <c r="C265" t="s">
        <v>39</v>
      </c>
      <c r="D265">
        <v>5</v>
      </c>
      <c r="E265">
        <v>6119.3</v>
      </c>
      <c r="F265" t="s">
        <v>29</v>
      </c>
      <c r="G265" s="1">
        <v>46082</v>
      </c>
      <c r="H265">
        <f t="shared" si="8"/>
        <v>30596.5</v>
      </c>
      <c r="I265" t="str">
        <f t="shared" si="9"/>
        <v>March</v>
      </c>
    </row>
    <row r="266" spans="1:9" x14ac:dyDescent="0.3">
      <c r="A266" t="s">
        <v>300</v>
      </c>
      <c r="B266" t="s">
        <v>55</v>
      </c>
      <c r="C266" t="s">
        <v>25</v>
      </c>
      <c r="D266">
        <v>2</v>
      </c>
      <c r="E266">
        <v>2643.26</v>
      </c>
      <c r="F266" t="s">
        <v>50</v>
      </c>
      <c r="G266" s="1">
        <v>46023</v>
      </c>
      <c r="H266">
        <f t="shared" si="8"/>
        <v>5286.52</v>
      </c>
      <c r="I266" t="str">
        <f t="shared" si="9"/>
        <v>January</v>
      </c>
    </row>
    <row r="267" spans="1:9" x14ac:dyDescent="0.3">
      <c r="A267" t="s">
        <v>301</v>
      </c>
      <c r="B267" t="s">
        <v>24</v>
      </c>
      <c r="C267" t="s">
        <v>25</v>
      </c>
      <c r="D267">
        <v>2</v>
      </c>
      <c r="E267">
        <v>876.91</v>
      </c>
      <c r="F267" t="s">
        <v>14</v>
      </c>
      <c r="G267" s="1">
        <v>46087</v>
      </c>
      <c r="H267">
        <f t="shared" si="8"/>
        <v>1753.82</v>
      </c>
      <c r="I267" t="str">
        <f t="shared" si="9"/>
        <v>March</v>
      </c>
    </row>
    <row r="268" spans="1:9" x14ac:dyDescent="0.3">
      <c r="A268" t="s">
        <v>302</v>
      </c>
      <c r="B268" t="s">
        <v>62</v>
      </c>
      <c r="C268" t="s">
        <v>25</v>
      </c>
      <c r="D268">
        <v>2</v>
      </c>
      <c r="E268">
        <v>1843.05</v>
      </c>
      <c r="F268" t="s">
        <v>46</v>
      </c>
      <c r="G268" s="1">
        <v>46056</v>
      </c>
      <c r="H268">
        <f t="shared" si="8"/>
        <v>3686.1</v>
      </c>
      <c r="I268" t="str">
        <f t="shared" si="9"/>
        <v>February</v>
      </c>
    </row>
    <row r="269" spans="1:9" x14ac:dyDescent="0.3">
      <c r="A269" t="s">
        <v>303</v>
      </c>
      <c r="B269" t="s">
        <v>91</v>
      </c>
      <c r="C269" t="s">
        <v>13</v>
      </c>
      <c r="D269">
        <v>3</v>
      </c>
      <c r="E269">
        <v>58189.83</v>
      </c>
      <c r="F269" t="s">
        <v>29</v>
      </c>
      <c r="G269" s="1">
        <v>46173</v>
      </c>
      <c r="H269">
        <f t="shared" si="8"/>
        <v>174569.49</v>
      </c>
      <c r="I269" t="str">
        <f t="shared" si="9"/>
        <v>May</v>
      </c>
    </row>
    <row r="270" spans="1:9" x14ac:dyDescent="0.3">
      <c r="A270" t="s">
        <v>304</v>
      </c>
      <c r="B270" t="s">
        <v>55</v>
      </c>
      <c r="C270" t="s">
        <v>25</v>
      </c>
      <c r="D270">
        <v>1</v>
      </c>
      <c r="E270">
        <v>2336.19</v>
      </c>
      <c r="F270" t="s">
        <v>46</v>
      </c>
      <c r="G270" s="1">
        <v>46055</v>
      </c>
      <c r="H270">
        <f t="shared" si="8"/>
        <v>2336.19</v>
      </c>
      <c r="I270" t="str">
        <f t="shared" si="9"/>
        <v>February</v>
      </c>
    </row>
    <row r="271" spans="1:9" x14ac:dyDescent="0.3">
      <c r="A271" t="s">
        <v>305</v>
      </c>
      <c r="B271" t="s">
        <v>21</v>
      </c>
      <c r="C271" t="s">
        <v>13</v>
      </c>
      <c r="D271">
        <v>4</v>
      </c>
      <c r="E271">
        <v>28146.080000000002</v>
      </c>
      <c r="F271" t="s">
        <v>18</v>
      </c>
      <c r="G271" s="1">
        <v>46144</v>
      </c>
      <c r="H271">
        <f t="shared" si="8"/>
        <v>112584.32000000001</v>
      </c>
      <c r="I271" t="str">
        <f t="shared" si="9"/>
        <v>May</v>
      </c>
    </row>
    <row r="272" spans="1:9" x14ac:dyDescent="0.3">
      <c r="A272" t="s">
        <v>306</v>
      </c>
      <c r="B272" t="s">
        <v>44</v>
      </c>
      <c r="C272" t="s">
        <v>39</v>
      </c>
      <c r="D272">
        <v>3</v>
      </c>
      <c r="E272">
        <v>3509.27</v>
      </c>
      <c r="F272" t="s">
        <v>18</v>
      </c>
      <c r="G272" s="1">
        <v>46138</v>
      </c>
      <c r="H272">
        <f t="shared" si="8"/>
        <v>10527.81</v>
      </c>
      <c r="I272" t="str">
        <f t="shared" si="9"/>
        <v>April</v>
      </c>
    </row>
    <row r="273" spans="1:9" x14ac:dyDescent="0.3">
      <c r="A273" t="s">
        <v>307</v>
      </c>
      <c r="B273" t="s">
        <v>80</v>
      </c>
      <c r="C273" t="s">
        <v>39</v>
      </c>
      <c r="D273">
        <v>2</v>
      </c>
      <c r="E273">
        <v>4574.1499999999996</v>
      </c>
      <c r="F273" t="s">
        <v>46</v>
      </c>
      <c r="G273" s="1">
        <v>46191</v>
      </c>
      <c r="H273">
        <f t="shared" si="8"/>
        <v>9148.2999999999993</v>
      </c>
      <c r="I273" t="str">
        <f t="shared" si="9"/>
        <v>June</v>
      </c>
    </row>
    <row r="274" spans="1:9" x14ac:dyDescent="0.3">
      <c r="A274" t="s">
        <v>308</v>
      </c>
      <c r="B274" t="s">
        <v>80</v>
      </c>
      <c r="C274" t="s">
        <v>39</v>
      </c>
      <c r="D274">
        <v>3</v>
      </c>
      <c r="E274">
        <v>4164.76</v>
      </c>
      <c r="F274" t="s">
        <v>46</v>
      </c>
      <c r="G274" s="1">
        <v>46038</v>
      </c>
      <c r="H274">
        <f t="shared" si="8"/>
        <v>12494.28</v>
      </c>
      <c r="I274" t="str">
        <f t="shared" si="9"/>
        <v>January</v>
      </c>
    </row>
    <row r="275" spans="1:9" x14ac:dyDescent="0.3">
      <c r="A275" t="s">
        <v>309</v>
      </c>
      <c r="B275" t="s">
        <v>44</v>
      </c>
      <c r="C275" t="s">
        <v>39</v>
      </c>
      <c r="D275">
        <v>4</v>
      </c>
      <c r="E275">
        <v>3448.39</v>
      </c>
      <c r="F275" t="s">
        <v>18</v>
      </c>
      <c r="G275" s="1">
        <v>46148</v>
      </c>
      <c r="H275">
        <f t="shared" si="8"/>
        <v>13793.56</v>
      </c>
      <c r="I275" t="str">
        <f t="shared" si="9"/>
        <v>May</v>
      </c>
    </row>
    <row r="276" spans="1:9" x14ac:dyDescent="0.3">
      <c r="A276" t="s">
        <v>310</v>
      </c>
      <c r="B276" t="s">
        <v>21</v>
      </c>
      <c r="C276" t="s">
        <v>13</v>
      </c>
      <c r="D276">
        <v>4</v>
      </c>
      <c r="E276">
        <v>25611.55</v>
      </c>
      <c r="F276" t="s">
        <v>18</v>
      </c>
      <c r="G276" s="1">
        <v>46105</v>
      </c>
      <c r="H276">
        <f t="shared" si="8"/>
        <v>102446.2</v>
      </c>
      <c r="I276" t="str">
        <f t="shared" si="9"/>
        <v>March</v>
      </c>
    </row>
    <row r="277" spans="1:9" x14ac:dyDescent="0.3">
      <c r="A277" t="s">
        <v>311</v>
      </c>
      <c r="B277" t="s">
        <v>16</v>
      </c>
      <c r="C277" t="s">
        <v>17</v>
      </c>
      <c r="D277">
        <v>2</v>
      </c>
      <c r="E277">
        <v>410.91</v>
      </c>
      <c r="F277" t="s">
        <v>10</v>
      </c>
      <c r="G277" s="1">
        <v>46182</v>
      </c>
      <c r="H277">
        <f t="shared" si="8"/>
        <v>821.82</v>
      </c>
      <c r="I277" t="str">
        <f t="shared" si="9"/>
        <v>June</v>
      </c>
    </row>
    <row r="278" spans="1:9" x14ac:dyDescent="0.3">
      <c r="A278" t="s">
        <v>312</v>
      </c>
      <c r="B278" t="s">
        <v>8</v>
      </c>
      <c r="C278" t="s">
        <v>9</v>
      </c>
      <c r="D278">
        <v>5</v>
      </c>
      <c r="E278">
        <v>1817.41</v>
      </c>
      <c r="F278" t="s">
        <v>32</v>
      </c>
      <c r="G278" s="1">
        <v>46120</v>
      </c>
      <c r="H278">
        <f t="shared" si="8"/>
        <v>9087.0500000000011</v>
      </c>
      <c r="I278" t="str">
        <f t="shared" si="9"/>
        <v>April</v>
      </c>
    </row>
    <row r="279" spans="1:9" x14ac:dyDescent="0.3">
      <c r="A279" t="s">
        <v>313</v>
      </c>
      <c r="B279" t="s">
        <v>16</v>
      </c>
      <c r="C279" t="s">
        <v>17</v>
      </c>
      <c r="D279">
        <v>5</v>
      </c>
      <c r="E279">
        <v>431.54</v>
      </c>
      <c r="F279" t="s">
        <v>14</v>
      </c>
      <c r="G279" s="1">
        <v>46177</v>
      </c>
      <c r="H279">
        <f t="shared" si="8"/>
        <v>2157.7000000000003</v>
      </c>
      <c r="I279" t="str">
        <f t="shared" si="9"/>
        <v>June</v>
      </c>
    </row>
    <row r="280" spans="1:9" x14ac:dyDescent="0.3">
      <c r="A280" t="s">
        <v>314</v>
      </c>
      <c r="B280" t="s">
        <v>28</v>
      </c>
      <c r="C280" t="s">
        <v>9</v>
      </c>
      <c r="D280">
        <v>1</v>
      </c>
      <c r="E280">
        <v>5292.04</v>
      </c>
      <c r="F280" t="s">
        <v>18</v>
      </c>
      <c r="G280" s="1">
        <v>46190</v>
      </c>
      <c r="H280">
        <f t="shared" si="8"/>
        <v>5292.04</v>
      </c>
      <c r="I280" t="str">
        <f t="shared" si="9"/>
        <v>June</v>
      </c>
    </row>
    <row r="281" spans="1:9" x14ac:dyDescent="0.3">
      <c r="A281" t="s">
        <v>315</v>
      </c>
      <c r="B281" t="s">
        <v>8</v>
      </c>
      <c r="C281" t="s">
        <v>9</v>
      </c>
      <c r="D281">
        <v>5</v>
      </c>
      <c r="E281">
        <v>1879.5</v>
      </c>
      <c r="F281" t="s">
        <v>29</v>
      </c>
      <c r="G281" s="1">
        <v>46133</v>
      </c>
      <c r="H281">
        <f t="shared" si="8"/>
        <v>9397.5</v>
      </c>
      <c r="I281" t="str">
        <f t="shared" si="9"/>
        <v>April</v>
      </c>
    </row>
    <row r="282" spans="1:9" x14ac:dyDescent="0.3">
      <c r="A282" t="s">
        <v>316</v>
      </c>
      <c r="B282" t="s">
        <v>44</v>
      </c>
      <c r="C282" t="s">
        <v>39</v>
      </c>
      <c r="D282">
        <v>2</v>
      </c>
      <c r="E282">
        <v>3439.67</v>
      </c>
      <c r="F282" t="s">
        <v>22</v>
      </c>
      <c r="G282" s="1">
        <v>46125</v>
      </c>
      <c r="H282">
        <f t="shared" si="8"/>
        <v>6879.34</v>
      </c>
      <c r="I282" t="str">
        <f t="shared" si="9"/>
        <v>April</v>
      </c>
    </row>
    <row r="283" spans="1:9" x14ac:dyDescent="0.3">
      <c r="A283" t="s">
        <v>317</v>
      </c>
      <c r="B283" t="s">
        <v>28</v>
      </c>
      <c r="C283" t="s">
        <v>9</v>
      </c>
      <c r="D283">
        <v>1</v>
      </c>
      <c r="E283">
        <v>4811.59</v>
      </c>
      <c r="F283" t="s">
        <v>32</v>
      </c>
      <c r="G283" s="1">
        <v>46193</v>
      </c>
      <c r="H283">
        <f t="shared" si="8"/>
        <v>4811.59</v>
      </c>
      <c r="I283" t="str">
        <f t="shared" si="9"/>
        <v>June</v>
      </c>
    </row>
    <row r="284" spans="1:9" x14ac:dyDescent="0.3">
      <c r="A284" t="s">
        <v>318</v>
      </c>
      <c r="B284" t="s">
        <v>24</v>
      </c>
      <c r="C284" t="s">
        <v>25</v>
      </c>
      <c r="D284">
        <v>3</v>
      </c>
      <c r="E284">
        <v>871.48</v>
      </c>
      <c r="F284" t="s">
        <v>22</v>
      </c>
      <c r="G284" s="1">
        <v>46040</v>
      </c>
      <c r="H284">
        <f t="shared" si="8"/>
        <v>2614.44</v>
      </c>
      <c r="I284" t="str">
        <f t="shared" si="9"/>
        <v>January</v>
      </c>
    </row>
    <row r="285" spans="1:9" x14ac:dyDescent="0.3">
      <c r="A285" t="s">
        <v>319</v>
      </c>
      <c r="B285" t="s">
        <v>31</v>
      </c>
      <c r="C285" t="s">
        <v>13</v>
      </c>
      <c r="D285">
        <v>1</v>
      </c>
      <c r="E285">
        <v>16535.63</v>
      </c>
      <c r="F285" t="s">
        <v>18</v>
      </c>
      <c r="G285" s="1">
        <v>46118</v>
      </c>
      <c r="H285">
        <f t="shared" si="8"/>
        <v>16535.63</v>
      </c>
      <c r="I285" t="str">
        <f t="shared" si="9"/>
        <v>April</v>
      </c>
    </row>
    <row r="286" spans="1:9" x14ac:dyDescent="0.3">
      <c r="A286" t="s">
        <v>320</v>
      </c>
      <c r="B286" t="s">
        <v>62</v>
      </c>
      <c r="C286" t="s">
        <v>25</v>
      </c>
      <c r="D286">
        <v>2</v>
      </c>
      <c r="E286">
        <v>2021.54</v>
      </c>
      <c r="F286" t="s">
        <v>50</v>
      </c>
      <c r="G286" s="1">
        <v>46166</v>
      </c>
      <c r="H286">
        <f t="shared" si="8"/>
        <v>4043.08</v>
      </c>
      <c r="I286" t="str">
        <f t="shared" si="9"/>
        <v>May</v>
      </c>
    </row>
    <row r="287" spans="1:9" x14ac:dyDescent="0.3">
      <c r="A287" t="s">
        <v>321</v>
      </c>
      <c r="B287" t="s">
        <v>80</v>
      </c>
      <c r="C287" t="s">
        <v>39</v>
      </c>
      <c r="D287">
        <v>3</v>
      </c>
      <c r="E287">
        <v>4342.8100000000004</v>
      </c>
      <c r="F287" t="s">
        <v>48</v>
      </c>
      <c r="G287" s="1">
        <v>46113</v>
      </c>
      <c r="H287">
        <f t="shared" si="8"/>
        <v>13028.43</v>
      </c>
      <c r="I287" t="str">
        <f t="shared" si="9"/>
        <v>April</v>
      </c>
    </row>
    <row r="288" spans="1:9" x14ac:dyDescent="0.3">
      <c r="A288" t="s">
        <v>322</v>
      </c>
      <c r="B288" t="s">
        <v>38</v>
      </c>
      <c r="C288" t="s">
        <v>39</v>
      </c>
      <c r="D288">
        <v>4</v>
      </c>
      <c r="E288">
        <v>6978.52</v>
      </c>
      <c r="F288" t="s">
        <v>46</v>
      </c>
      <c r="G288" s="1">
        <v>46096</v>
      </c>
      <c r="H288">
        <f t="shared" si="8"/>
        <v>27914.080000000002</v>
      </c>
      <c r="I288" t="str">
        <f t="shared" si="9"/>
        <v>March</v>
      </c>
    </row>
    <row r="289" spans="1:9" x14ac:dyDescent="0.3">
      <c r="A289" t="s">
        <v>323</v>
      </c>
      <c r="B289" t="s">
        <v>16</v>
      </c>
      <c r="C289" t="s">
        <v>17</v>
      </c>
      <c r="D289">
        <v>3</v>
      </c>
      <c r="E289">
        <v>436.65</v>
      </c>
      <c r="F289" t="s">
        <v>50</v>
      </c>
      <c r="G289" s="1">
        <v>46152</v>
      </c>
      <c r="H289">
        <f t="shared" si="8"/>
        <v>1309.9499999999998</v>
      </c>
      <c r="I289" t="str">
        <f t="shared" si="9"/>
        <v>May</v>
      </c>
    </row>
    <row r="290" spans="1:9" x14ac:dyDescent="0.3">
      <c r="A290" t="s">
        <v>324</v>
      </c>
      <c r="B290" t="s">
        <v>12</v>
      </c>
      <c r="C290" t="s">
        <v>13</v>
      </c>
      <c r="D290">
        <v>2</v>
      </c>
      <c r="E290">
        <v>1547.02</v>
      </c>
      <c r="F290" t="s">
        <v>29</v>
      </c>
      <c r="G290" s="1">
        <v>46050</v>
      </c>
      <c r="H290">
        <f t="shared" si="8"/>
        <v>3094.04</v>
      </c>
      <c r="I290" t="str">
        <f t="shared" si="9"/>
        <v>January</v>
      </c>
    </row>
    <row r="291" spans="1:9" x14ac:dyDescent="0.3">
      <c r="A291" t="s">
        <v>325</v>
      </c>
      <c r="B291" t="s">
        <v>55</v>
      </c>
      <c r="C291" t="s">
        <v>25</v>
      </c>
      <c r="D291">
        <v>5</v>
      </c>
      <c r="E291">
        <v>2432.81</v>
      </c>
      <c r="F291" t="s">
        <v>10</v>
      </c>
      <c r="G291" s="1">
        <v>46169</v>
      </c>
      <c r="H291">
        <f t="shared" si="8"/>
        <v>12164.05</v>
      </c>
      <c r="I291" t="str">
        <f t="shared" si="9"/>
        <v>May</v>
      </c>
    </row>
    <row r="292" spans="1:9" x14ac:dyDescent="0.3">
      <c r="A292" t="s">
        <v>326</v>
      </c>
      <c r="B292" t="s">
        <v>12</v>
      </c>
      <c r="C292" t="s">
        <v>13</v>
      </c>
      <c r="D292">
        <v>4</v>
      </c>
      <c r="E292">
        <v>1603.55</v>
      </c>
      <c r="F292" t="s">
        <v>50</v>
      </c>
      <c r="G292" s="1">
        <v>46180</v>
      </c>
      <c r="H292">
        <f t="shared" si="8"/>
        <v>6414.2</v>
      </c>
      <c r="I292" t="str">
        <f t="shared" si="9"/>
        <v>June</v>
      </c>
    </row>
    <row r="293" spans="1:9" x14ac:dyDescent="0.3">
      <c r="A293" t="s">
        <v>327</v>
      </c>
      <c r="B293" t="s">
        <v>8</v>
      </c>
      <c r="C293" t="s">
        <v>9</v>
      </c>
      <c r="D293">
        <v>5</v>
      </c>
      <c r="E293">
        <v>1629.45</v>
      </c>
      <c r="F293" t="s">
        <v>10</v>
      </c>
      <c r="G293" s="1">
        <v>46030</v>
      </c>
      <c r="H293">
        <f t="shared" si="8"/>
        <v>8147.25</v>
      </c>
      <c r="I293" t="str">
        <f t="shared" si="9"/>
        <v>January</v>
      </c>
    </row>
    <row r="294" spans="1:9" x14ac:dyDescent="0.3">
      <c r="A294" t="s">
        <v>328</v>
      </c>
      <c r="B294" t="s">
        <v>72</v>
      </c>
      <c r="C294" t="s">
        <v>13</v>
      </c>
      <c r="D294">
        <v>3</v>
      </c>
      <c r="E294">
        <v>2289.19</v>
      </c>
      <c r="F294" t="s">
        <v>10</v>
      </c>
      <c r="G294" s="1">
        <v>46109</v>
      </c>
      <c r="H294">
        <f t="shared" si="8"/>
        <v>6867.57</v>
      </c>
      <c r="I294" t="str">
        <f t="shared" si="9"/>
        <v>March</v>
      </c>
    </row>
    <row r="295" spans="1:9" x14ac:dyDescent="0.3">
      <c r="A295" t="s">
        <v>329</v>
      </c>
      <c r="B295" t="s">
        <v>55</v>
      </c>
      <c r="C295" t="s">
        <v>25</v>
      </c>
      <c r="D295">
        <v>1</v>
      </c>
      <c r="E295">
        <v>2339.77</v>
      </c>
      <c r="F295" t="s">
        <v>26</v>
      </c>
      <c r="G295" s="1">
        <v>46167</v>
      </c>
      <c r="H295">
        <f t="shared" si="8"/>
        <v>2339.77</v>
      </c>
      <c r="I295" t="str">
        <f t="shared" si="9"/>
        <v>May</v>
      </c>
    </row>
    <row r="296" spans="1:9" x14ac:dyDescent="0.3">
      <c r="A296" t="s">
        <v>330</v>
      </c>
      <c r="B296" t="s">
        <v>8</v>
      </c>
      <c r="C296" t="s">
        <v>9</v>
      </c>
      <c r="D296">
        <v>4</v>
      </c>
      <c r="E296">
        <v>1645.05</v>
      </c>
      <c r="F296" t="s">
        <v>46</v>
      </c>
      <c r="G296" s="1">
        <v>46046</v>
      </c>
      <c r="H296">
        <f t="shared" si="8"/>
        <v>6580.2</v>
      </c>
      <c r="I296" t="str">
        <f t="shared" si="9"/>
        <v>January</v>
      </c>
    </row>
    <row r="297" spans="1:9" x14ac:dyDescent="0.3">
      <c r="A297" t="s">
        <v>331</v>
      </c>
      <c r="B297" t="s">
        <v>21</v>
      </c>
      <c r="C297" t="s">
        <v>13</v>
      </c>
      <c r="D297">
        <v>5</v>
      </c>
      <c r="E297">
        <v>26404.74</v>
      </c>
      <c r="F297" t="s">
        <v>48</v>
      </c>
      <c r="G297" s="1">
        <v>46139</v>
      </c>
      <c r="H297">
        <f t="shared" si="8"/>
        <v>132023.70000000001</v>
      </c>
      <c r="I297" t="str">
        <f t="shared" si="9"/>
        <v>April</v>
      </c>
    </row>
    <row r="298" spans="1:9" x14ac:dyDescent="0.3">
      <c r="A298" t="s">
        <v>332</v>
      </c>
      <c r="B298" t="s">
        <v>55</v>
      </c>
      <c r="C298" t="s">
        <v>25</v>
      </c>
      <c r="D298">
        <v>2</v>
      </c>
      <c r="E298">
        <v>2434.0500000000002</v>
      </c>
      <c r="F298" t="s">
        <v>32</v>
      </c>
      <c r="G298" s="1">
        <v>46168</v>
      </c>
      <c r="H298">
        <f t="shared" si="8"/>
        <v>4868.1000000000004</v>
      </c>
      <c r="I298" t="str">
        <f t="shared" si="9"/>
        <v>May</v>
      </c>
    </row>
    <row r="299" spans="1:9" x14ac:dyDescent="0.3">
      <c r="A299" t="s">
        <v>333</v>
      </c>
      <c r="B299" t="s">
        <v>16</v>
      </c>
      <c r="C299" t="s">
        <v>17</v>
      </c>
      <c r="D299">
        <v>1</v>
      </c>
      <c r="E299">
        <v>484.5</v>
      </c>
      <c r="F299" t="s">
        <v>26</v>
      </c>
      <c r="G299" s="1">
        <v>46063</v>
      </c>
      <c r="H299">
        <f t="shared" si="8"/>
        <v>484.5</v>
      </c>
      <c r="I299" t="str">
        <f t="shared" si="9"/>
        <v>February</v>
      </c>
    </row>
    <row r="300" spans="1:9" x14ac:dyDescent="0.3">
      <c r="A300" t="s">
        <v>334</v>
      </c>
      <c r="B300" t="s">
        <v>62</v>
      </c>
      <c r="C300" t="s">
        <v>25</v>
      </c>
      <c r="D300">
        <v>5</v>
      </c>
      <c r="E300">
        <v>1819</v>
      </c>
      <c r="F300" t="s">
        <v>18</v>
      </c>
      <c r="G300" s="1">
        <v>46092</v>
      </c>
      <c r="H300">
        <f t="shared" si="8"/>
        <v>9095</v>
      </c>
      <c r="I300" t="str">
        <f t="shared" si="9"/>
        <v>March</v>
      </c>
    </row>
    <row r="301" spans="1:9" x14ac:dyDescent="0.3">
      <c r="A301" t="s">
        <v>335</v>
      </c>
      <c r="B301" t="s">
        <v>44</v>
      </c>
      <c r="C301" t="s">
        <v>39</v>
      </c>
      <c r="D301">
        <v>4</v>
      </c>
      <c r="E301">
        <v>3489.96</v>
      </c>
      <c r="F301" t="s">
        <v>22</v>
      </c>
      <c r="G301" s="1">
        <v>46129</v>
      </c>
      <c r="H301">
        <f t="shared" si="8"/>
        <v>13959.84</v>
      </c>
      <c r="I301" t="str">
        <f t="shared" si="9"/>
        <v>April</v>
      </c>
    </row>
    <row r="302" spans="1:9" x14ac:dyDescent="0.3">
      <c r="A302" t="s">
        <v>336</v>
      </c>
      <c r="B302" t="s">
        <v>24</v>
      </c>
      <c r="C302" t="s">
        <v>25</v>
      </c>
      <c r="D302">
        <v>2</v>
      </c>
      <c r="E302">
        <v>839.74</v>
      </c>
      <c r="F302" t="s">
        <v>18</v>
      </c>
      <c r="G302" s="1">
        <v>46111</v>
      </c>
      <c r="H302">
        <f t="shared" si="8"/>
        <v>1679.48</v>
      </c>
      <c r="I302" t="str">
        <f t="shared" si="9"/>
        <v>March</v>
      </c>
    </row>
    <row r="303" spans="1:9" x14ac:dyDescent="0.3">
      <c r="A303" t="s">
        <v>337</v>
      </c>
      <c r="B303" t="s">
        <v>28</v>
      </c>
      <c r="C303" t="s">
        <v>9</v>
      </c>
      <c r="D303">
        <v>1</v>
      </c>
      <c r="E303">
        <v>4782.29</v>
      </c>
      <c r="F303" t="s">
        <v>50</v>
      </c>
      <c r="G303" s="1">
        <v>46147</v>
      </c>
      <c r="H303">
        <f t="shared" si="8"/>
        <v>4782.29</v>
      </c>
      <c r="I303" t="str">
        <f t="shared" si="9"/>
        <v>May</v>
      </c>
    </row>
    <row r="304" spans="1:9" x14ac:dyDescent="0.3">
      <c r="A304" t="s">
        <v>338</v>
      </c>
      <c r="B304" t="s">
        <v>80</v>
      </c>
      <c r="C304" t="s">
        <v>39</v>
      </c>
      <c r="D304">
        <v>3</v>
      </c>
      <c r="E304">
        <v>3818.15</v>
      </c>
      <c r="F304" t="s">
        <v>48</v>
      </c>
      <c r="G304" s="1">
        <v>46176</v>
      </c>
      <c r="H304">
        <f t="shared" si="8"/>
        <v>11454.45</v>
      </c>
      <c r="I304" t="str">
        <f t="shared" si="9"/>
        <v>June</v>
      </c>
    </row>
    <row r="305" spans="1:9" x14ac:dyDescent="0.3">
      <c r="A305" t="s">
        <v>339</v>
      </c>
      <c r="B305" t="s">
        <v>91</v>
      </c>
      <c r="C305" t="s">
        <v>13</v>
      </c>
      <c r="D305">
        <v>1</v>
      </c>
      <c r="E305">
        <v>51748.65</v>
      </c>
      <c r="F305" t="s">
        <v>29</v>
      </c>
      <c r="G305" s="1">
        <v>46058</v>
      </c>
      <c r="H305">
        <f t="shared" si="8"/>
        <v>51748.65</v>
      </c>
      <c r="I305" t="str">
        <f t="shared" si="9"/>
        <v>February</v>
      </c>
    </row>
    <row r="306" spans="1:9" x14ac:dyDescent="0.3">
      <c r="A306" t="s">
        <v>340</v>
      </c>
      <c r="B306" t="s">
        <v>62</v>
      </c>
      <c r="C306" t="s">
        <v>25</v>
      </c>
      <c r="D306">
        <v>3</v>
      </c>
      <c r="E306">
        <v>1914.82</v>
      </c>
      <c r="F306" t="s">
        <v>18</v>
      </c>
      <c r="G306" s="1">
        <v>46024</v>
      </c>
      <c r="H306">
        <f t="shared" si="8"/>
        <v>5744.46</v>
      </c>
      <c r="I306" t="str">
        <f t="shared" si="9"/>
        <v>January</v>
      </c>
    </row>
    <row r="307" spans="1:9" x14ac:dyDescent="0.3">
      <c r="A307" t="s">
        <v>341</v>
      </c>
      <c r="B307" t="s">
        <v>44</v>
      </c>
      <c r="C307" t="s">
        <v>39</v>
      </c>
      <c r="D307">
        <v>4</v>
      </c>
      <c r="E307">
        <v>3272.99</v>
      </c>
      <c r="F307" t="s">
        <v>48</v>
      </c>
      <c r="G307" s="1">
        <v>46159</v>
      </c>
      <c r="H307">
        <f t="shared" si="8"/>
        <v>13091.96</v>
      </c>
      <c r="I307" t="str">
        <f t="shared" si="9"/>
        <v>May</v>
      </c>
    </row>
    <row r="308" spans="1:9" x14ac:dyDescent="0.3">
      <c r="A308" t="s">
        <v>342</v>
      </c>
      <c r="B308" t="s">
        <v>21</v>
      </c>
      <c r="C308" t="s">
        <v>13</v>
      </c>
      <c r="D308">
        <v>2</v>
      </c>
      <c r="E308">
        <v>28001.47</v>
      </c>
      <c r="F308" t="s">
        <v>32</v>
      </c>
      <c r="G308" s="1">
        <v>46041</v>
      </c>
      <c r="H308">
        <f t="shared" si="8"/>
        <v>56002.94</v>
      </c>
      <c r="I308" t="str">
        <f t="shared" si="9"/>
        <v>January</v>
      </c>
    </row>
    <row r="309" spans="1:9" x14ac:dyDescent="0.3">
      <c r="A309" t="s">
        <v>343</v>
      </c>
      <c r="B309" t="s">
        <v>28</v>
      </c>
      <c r="C309" t="s">
        <v>9</v>
      </c>
      <c r="D309">
        <v>1</v>
      </c>
      <c r="E309">
        <v>4935.2299999999996</v>
      </c>
      <c r="F309" t="s">
        <v>22</v>
      </c>
      <c r="G309" s="1">
        <v>46042</v>
      </c>
      <c r="H309">
        <f t="shared" si="8"/>
        <v>4935.2299999999996</v>
      </c>
      <c r="I309" t="str">
        <f t="shared" si="9"/>
        <v>January</v>
      </c>
    </row>
    <row r="310" spans="1:9" x14ac:dyDescent="0.3">
      <c r="A310" t="s">
        <v>344</v>
      </c>
      <c r="B310" t="s">
        <v>38</v>
      </c>
      <c r="C310" t="s">
        <v>39</v>
      </c>
      <c r="D310">
        <v>3</v>
      </c>
      <c r="E310">
        <v>6598.49</v>
      </c>
      <c r="F310" t="s">
        <v>50</v>
      </c>
      <c r="G310" s="1">
        <v>46126</v>
      </c>
      <c r="H310">
        <f t="shared" si="8"/>
        <v>19795.47</v>
      </c>
      <c r="I310" t="str">
        <f t="shared" si="9"/>
        <v>April</v>
      </c>
    </row>
    <row r="311" spans="1:9" x14ac:dyDescent="0.3">
      <c r="A311" t="s">
        <v>345</v>
      </c>
      <c r="B311" t="s">
        <v>21</v>
      </c>
      <c r="C311" t="s">
        <v>13</v>
      </c>
      <c r="D311">
        <v>4</v>
      </c>
      <c r="E311">
        <v>26821.29</v>
      </c>
      <c r="F311" t="s">
        <v>48</v>
      </c>
      <c r="G311" s="1">
        <v>46028</v>
      </c>
      <c r="H311">
        <f t="shared" si="8"/>
        <v>107285.16</v>
      </c>
      <c r="I311" t="str">
        <f t="shared" si="9"/>
        <v>January</v>
      </c>
    </row>
    <row r="312" spans="1:9" x14ac:dyDescent="0.3">
      <c r="A312" t="s">
        <v>346</v>
      </c>
      <c r="B312" t="s">
        <v>55</v>
      </c>
      <c r="C312" t="s">
        <v>25</v>
      </c>
      <c r="D312">
        <v>2</v>
      </c>
      <c r="E312">
        <v>2649.6</v>
      </c>
      <c r="F312" t="s">
        <v>50</v>
      </c>
      <c r="G312" s="1">
        <v>46140</v>
      </c>
      <c r="H312">
        <f t="shared" si="8"/>
        <v>5299.2</v>
      </c>
      <c r="I312" t="str">
        <f t="shared" si="9"/>
        <v>April</v>
      </c>
    </row>
    <row r="313" spans="1:9" x14ac:dyDescent="0.3">
      <c r="A313" t="s">
        <v>347</v>
      </c>
      <c r="B313" t="s">
        <v>38</v>
      </c>
      <c r="C313" t="s">
        <v>39</v>
      </c>
      <c r="D313">
        <v>3</v>
      </c>
      <c r="E313">
        <v>5964.57</v>
      </c>
      <c r="F313" t="s">
        <v>18</v>
      </c>
      <c r="G313" s="1">
        <v>46085</v>
      </c>
      <c r="H313">
        <f t="shared" si="8"/>
        <v>17893.71</v>
      </c>
      <c r="I313" t="str">
        <f t="shared" si="9"/>
        <v>March</v>
      </c>
    </row>
    <row r="314" spans="1:9" x14ac:dyDescent="0.3">
      <c r="A314" t="s">
        <v>348</v>
      </c>
      <c r="B314" t="s">
        <v>28</v>
      </c>
      <c r="C314" t="s">
        <v>9</v>
      </c>
      <c r="D314">
        <v>5</v>
      </c>
      <c r="E314">
        <v>4899.47</v>
      </c>
      <c r="F314" t="s">
        <v>18</v>
      </c>
      <c r="G314" s="1">
        <v>46124</v>
      </c>
      <c r="H314">
        <f t="shared" si="8"/>
        <v>24497.350000000002</v>
      </c>
      <c r="I314" t="str">
        <f t="shared" si="9"/>
        <v>April</v>
      </c>
    </row>
    <row r="315" spans="1:9" x14ac:dyDescent="0.3">
      <c r="A315" t="s">
        <v>349</v>
      </c>
      <c r="B315" t="s">
        <v>38</v>
      </c>
      <c r="C315" t="s">
        <v>39</v>
      </c>
      <c r="D315">
        <v>3</v>
      </c>
      <c r="E315">
        <v>6819.55</v>
      </c>
      <c r="F315" t="s">
        <v>29</v>
      </c>
      <c r="G315" s="1">
        <v>46108</v>
      </c>
      <c r="H315">
        <f t="shared" si="8"/>
        <v>20458.650000000001</v>
      </c>
      <c r="I315" t="str">
        <f t="shared" si="9"/>
        <v>March</v>
      </c>
    </row>
    <row r="316" spans="1:9" x14ac:dyDescent="0.3">
      <c r="A316" t="s">
        <v>350</v>
      </c>
      <c r="B316" t="s">
        <v>62</v>
      </c>
      <c r="C316" t="s">
        <v>25</v>
      </c>
      <c r="D316">
        <v>2</v>
      </c>
      <c r="E316">
        <v>1829.64</v>
      </c>
      <c r="F316" t="s">
        <v>18</v>
      </c>
      <c r="G316" s="1">
        <v>46158</v>
      </c>
      <c r="H316">
        <f t="shared" si="8"/>
        <v>3659.28</v>
      </c>
      <c r="I316" t="str">
        <f t="shared" si="9"/>
        <v>May</v>
      </c>
    </row>
    <row r="317" spans="1:9" x14ac:dyDescent="0.3">
      <c r="A317" t="s">
        <v>351</v>
      </c>
      <c r="B317" t="s">
        <v>80</v>
      </c>
      <c r="C317" t="s">
        <v>39</v>
      </c>
      <c r="D317">
        <v>2</v>
      </c>
      <c r="E317">
        <v>4540.9799999999996</v>
      </c>
      <c r="F317" t="s">
        <v>32</v>
      </c>
      <c r="G317" s="1">
        <v>46112</v>
      </c>
      <c r="H317">
        <f t="shared" si="8"/>
        <v>9081.9599999999991</v>
      </c>
      <c r="I317" t="str">
        <f t="shared" si="9"/>
        <v>March</v>
      </c>
    </row>
    <row r="318" spans="1:9" x14ac:dyDescent="0.3">
      <c r="A318" t="s">
        <v>352</v>
      </c>
      <c r="B318" t="s">
        <v>21</v>
      </c>
      <c r="C318" t="s">
        <v>13</v>
      </c>
      <c r="D318">
        <v>2</v>
      </c>
      <c r="E318">
        <v>26523.11</v>
      </c>
      <c r="F318" t="s">
        <v>26</v>
      </c>
      <c r="G318" s="1">
        <v>46088</v>
      </c>
      <c r="H318">
        <f t="shared" si="8"/>
        <v>53046.22</v>
      </c>
      <c r="I318" t="str">
        <f t="shared" si="9"/>
        <v>March</v>
      </c>
    </row>
    <row r="319" spans="1:9" x14ac:dyDescent="0.3">
      <c r="A319" t="s">
        <v>353</v>
      </c>
      <c r="B319" t="s">
        <v>12</v>
      </c>
      <c r="C319" t="s">
        <v>13</v>
      </c>
      <c r="D319">
        <v>2</v>
      </c>
      <c r="E319">
        <v>1530.72</v>
      </c>
      <c r="F319" t="s">
        <v>18</v>
      </c>
      <c r="G319" s="1">
        <v>46068</v>
      </c>
      <c r="H319">
        <f t="shared" si="8"/>
        <v>3061.44</v>
      </c>
      <c r="I319" t="str">
        <f t="shared" si="9"/>
        <v>February</v>
      </c>
    </row>
    <row r="320" spans="1:9" x14ac:dyDescent="0.3">
      <c r="A320" t="s">
        <v>354</v>
      </c>
      <c r="B320" t="s">
        <v>62</v>
      </c>
      <c r="C320" t="s">
        <v>25</v>
      </c>
      <c r="D320">
        <v>4</v>
      </c>
      <c r="E320">
        <v>1984.59</v>
      </c>
      <c r="F320" t="s">
        <v>50</v>
      </c>
      <c r="G320" s="1">
        <v>46171</v>
      </c>
      <c r="H320">
        <f t="shared" si="8"/>
        <v>7938.36</v>
      </c>
      <c r="I320" t="str">
        <f t="shared" si="9"/>
        <v>May</v>
      </c>
    </row>
    <row r="321" spans="1:9" x14ac:dyDescent="0.3">
      <c r="A321" t="s">
        <v>355</v>
      </c>
      <c r="B321" t="s">
        <v>44</v>
      </c>
      <c r="C321" t="s">
        <v>39</v>
      </c>
      <c r="D321">
        <v>5</v>
      </c>
      <c r="E321">
        <v>3600.09</v>
      </c>
      <c r="F321" t="s">
        <v>50</v>
      </c>
      <c r="G321" s="1">
        <v>46105</v>
      </c>
      <c r="H321">
        <f t="shared" si="8"/>
        <v>18000.45</v>
      </c>
      <c r="I321" t="str">
        <f t="shared" si="9"/>
        <v>March</v>
      </c>
    </row>
    <row r="322" spans="1:9" x14ac:dyDescent="0.3">
      <c r="A322" t="s">
        <v>356</v>
      </c>
      <c r="B322" t="s">
        <v>38</v>
      </c>
      <c r="C322" t="s">
        <v>39</v>
      </c>
      <c r="D322">
        <v>3</v>
      </c>
      <c r="E322">
        <v>6046.24</v>
      </c>
      <c r="F322" t="s">
        <v>18</v>
      </c>
      <c r="G322" s="1">
        <v>46143</v>
      </c>
      <c r="H322">
        <f t="shared" si="8"/>
        <v>18138.72</v>
      </c>
      <c r="I322" t="str">
        <f t="shared" si="9"/>
        <v>May</v>
      </c>
    </row>
    <row r="323" spans="1:9" x14ac:dyDescent="0.3">
      <c r="A323" t="s">
        <v>357</v>
      </c>
      <c r="B323" t="s">
        <v>44</v>
      </c>
      <c r="C323" t="s">
        <v>39</v>
      </c>
      <c r="D323">
        <v>3</v>
      </c>
      <c r="E323">
        <v>3707.43</v>
      </c>
      <c r="F323" t="s">
        <v>50</v>
      </c>
      <c r="G323" s="1">
        <v>46037</v>
      </c>
      <c r="H323">
        <f t="shared" ref="H323:H386" si="10">D323*E323</f>
        <v>11122.289999999999</v>
      </c>
      <c r="I323" t="str">
        <f t="shared" ref="I323:I386" si="11">TEXT(G323, "mmmm")</f>
        <v>January</v>
      </c>
    </row>
    <row r="324" spans="1:9" x14ac:dyDescent="0.3">
      <c r="A324" t="s">
        <v>358</v>
      </c>
      <c r="B324" t="s">
        <v>55</v>
      </c>
      <c r="C324" t="s">
        <v>25</v>
      </c>
      <c r="D324">
        <v>5</v>
      </c>
      <c r="E324">
        <v>2286.1799999999998</v>
      </c>
      <c r="F324" t="s">
        <v>22</v>
      </c>
      <c r="G324" s="1">
        <v>46138</v>
      </c>
      <c r="H324">
        <f t="shared" si="10"/>
        <v>11430.9</v>
      </c>
      <c r="I324" t="str">
        <f t="shared" si="11"/>
        <v>April</v>
      </c>
    </row>
    <row r="325" spans="1:9" x14ac:dyDescent="0.3">
      <c r="A325" t="s">
        <v>359</v>
      </c>
      <c r="B325" t="s">
        <v>91</v>
      </c>
      <c r="C325" t="s">
        <v>13</v>
      </c>
      <c r="D325">
        <v>1</v>
      </c>
      <c r="E325">
        <v>53556.11</v>
      </c>
      <c r="F325" t="s">
        <v>10</v>
      </c>
      <c r="G325" s="1">
        <v>46042</v>
      </c>
      <c r="H325">
        <f t="shared" si="10"/>
        <v>53556.11</v>
      </c>
      <c r="I325" t="str">
        <f t="shared" si="11"/>
        <v>January</v>
      </c>
    </row>
    <row r="326" spans="1:9" x14ac:dyDescent="0.3">
      <c r="A326" t="s">
        <v>360</v>
      </c>
      <c r="B326" t="s">
        <v>8</v>
      </c>
      <c r="C326" t="s">
        <v>9</v>
      </c>
      <c r="D326">
        <v>1</v>
      </c>
      <c r="E326">
        <v>1841.4</v>
      </c>
      <c r="F326" t="s">
        <v>14</v>
      </c>
      <c r="G326" s="1">
        <v>46121</v>
      </c>
      <c r="H326">
        <f t="shared" si="10"/>
        <v>1841.4</v>
      </c>
      <c r="I326" t="str">
        <f t="shared" si="11"/>
        <v>April</v>
      </c>
    </row>
    <row r="327" spans="1:9" x14ac:dyDescent="0.3">
      <c r="A327" t="s">
        <v>361</v>
      </c>
      <c r="B327" t="s">
        <v>44</v>
      </c>
      <c r="C327" t="s">
        <v>39</v>
      </c>
      <c r="D327">
        <v>5</v>
      </c>
      <c r="E327">
        <v>3538.02</v>
      </c>
      <c r="F327" t="s">
        <v>46</v>
      </c>
      <c r="G327" s="1">
        <v>46138</v>
      </c>
      <c r="H327">
        <f t="shared" si="10"/>
        <v>17690.099999999999</v>
      </c>
      <c r="I327" t="str">
        <f t="shared" si="11"/>
        <v>April</v>
      </c>
    </row>
    <row r="328" spans="1:9" x14ac:dyDescent="0.3">
      <c r="A328" t="s">
        <v>362</v>
      </c>
      <c r="B328" t="s">
        <v>62</v>
      </c>
      <c r="C328" t="s">
        <v>25</v>
      </c>
      <c r="D328">
        <v>5</v>
      </c>
      <c r="E328">
        <v>2059.6999999999998</v>
      </c>
      <c r="F328" t="s">
        <v>32</v>
      </c>
      <c r="G328" s="1">
        <v>46177</v>
      </c>
      <c r="H328">
        <f t="shared" si="10"/>
        <v>10298.5</v>
      </c>
      <c r="I328" t="str">
        <f t="shared" si="11"/>
        <v>June</v>
      </c>
    </row>
    <row r="329" spans="1:9" x14ac:dyDescent="0.3">
      <c r="A329" t="s">
        <v>363</v>
      </c>
      <c r="B329" t="s">
        <v>44</v>
      </c>
      <c r="C329" t="s">
        <v>39</v>
      </c>
      <c r="D329">
        <v>5</v>
      </c>
      <c r="E329">
        <v>3255.6</v>
      </c>
      <c r="F329" t="s">
        <v>46</v>
      </c>
      <c r="G329" s="1">
        <v>46138</v>
      </c>
      <c r="H329">
        <f t="shared" si="10"/>
        <v>16278</v>
      </c>
      <c r="I329" t="str">
        <f t="shared" si="11"/>
        <v>April</v>
      </c>
    </row>
    <row r="330" spans="1:9" x14ac:dyDescent="0.3">
      <c r="A330" t="s">
        <v>364</v>
      </c>
      <c r="B330" t="s">
        <v>31</v>
      </c>
      <c r="C330" t="s">
        <v>13</v>
      </c>
      <c r="D330">
        <v>3</v>
      </c>
      <c r="E330">
        <v>19736.59</v>
      </c>
      <c r="F330" t="s">
        <v>18</v>
      </c>
      <c r="G330" s="1">
        <v>46152</v>
      </c>
      <c r="H330">
        <f t="shared" si="10"/>
        <v>59209.770000000004</v>
      </c>
      <c r="I330" t="str">
        <f t="shared" si="11"/>
        <v>May</v>
      </c>
    </row>
    <row r="331" spans="1:9" x14ac:dyDescent="0.3">
      <c r="A331" t="s">
        <v>365</v>
      </c>
      <c r="B331" t="s">
        <v>8</v>
      </c>
      <c r="C331" t="s">
        <v>9</v>
      </c>
      <c r="D331">
        <v>2</v>
      </c>
      <c r="E331">
        <v>1634.09</v>
      </c>
      <c r="F331" t="s">
        <v>22</v>
      </c>
      <c r="G331" s="1">
        <v>46135</v>
      </c>
      <c r="H331">
        <f t="shared" si="10"/>
        <v>3268.18</v>
      </c>
      <c r="I331" t="str">
        <f t="shared" si="11"/>
        <v>April</v>
      </c>
    </row>
    <row r="332" spans="1:9" x14ac:dyDescent="0.3">
      <c r="A332" t="s">
        <v>366</v>
      </c>
      <c r="B332" t="s">
        <v>80</v>
      </c>
      <c r="C332" t="s">
        <v>39</v>
      </c>
      <c r="D332">
        <v>5</v>
      </c>
      <c r="E332">
        <v>4292.24</v>
      </c>
      <c r="F332" t="s">
        <v>32</v>
      </c>
      <c r="G332" s="1">
        <v>46118</v>
      </c>
      <c r="H332">
        <f t="shared" si="10"/>
        <v>21461.199999999997</v>
      </c>
      <c r="I332" t="str">
        <f t="shared" si="11"/>
        <v>April</v>
      </c>
    </row>
    <row r="333" spans="1:9" x14ac:dyDescent="0.3">
      <c r="A333" t="s">
        <v>367</v>
      </c>
      <c r="B333" t="s">
        <v>24</v>
      </c>
      <c r="C333" t="s">
        <v>25</v>
      </c>
      <c r="D333">
        <v>4</v>
      </c>
      <c r="E333">
        <v>784.42</v>
      </c>
      <c r="F333" t="s">
        <v>32</v>
      </c>
      <c r="G333" s="1">
        <v>46196</v>
      </c>
      <c r="H333">
        <f t="shared" si="10"/>
        <v>3137.68</v>
      </c>
      <c r="I333" t="str">
        <f t="shared" si="11"/>
        <v>June</v>
      </c>
    </row>
    <row r="334" spans="1:9" x14ac:dyDescent="0.3">
      <c r="A334" t="s">
        <v>368</v>
      </c>
      <c r="B334" t="s">
        <v>16</v>
      </c>
      <c r="C334" t="s">
        <v>17</v>
      </c>
      <c r="D334">
        <v>1</v>
      </c>
      <c r="E334">
        <v>476.03</v>
      </c>
      <c r="F334" t="s">
        <v>32</v>
      </c>
      <c r="G334" s="1">
        <v>46039</v>
      </c>
      <c r="H334">
        <f t="shared" si="10"/>
        <v>476.03</v>
      </c>
      <c r="I334" t="str">
        <f t="shared" si="11"/>
        <v>January</v>
      </c>
    </row>
    <row r="335" spans="1:9" x14ac:dyDescent="0.3">
      <c r="A335" t="s">
        <v>369</v>
      </c>
      <c r="B335" t="s">
        <v>55</v>
      </c>
      <c r="C335" t="s">
        <v>25</v>
      </c>
      <c r="D335">
        <v>1</v>
      </c>
      <c r="E335">
        <v>2527.9699999999998</v>
      </c>
      <c r="F335" t="s">
        <v>48</v>
      </c>
      <c r="G335" s="1">
        <v>46095</v>
      </c>
      <c r="H335">
        <f t="shared" si="10"/>
        <v>2527.9699999999998</v>
      </c>
      <c r="I335" t="str">
        <f t="shared" si="11"/>
        <v>March</v>
      </c>
    </row>
    <row r="336" spans="1:9" x14ac:dyDescent="0.3">
      <c r="A336" t="s">
        <v>370</v>
      </c>
      <c r="B336" t="s">
        <v>24</v>
      </c>
      <c r="C336" t="s">
        <v>25</v>
      </c>
      <c r="D336">
        <v>5</v>
      </c>
      <c r="E336">
        <v>858.65</v>
      </c>
      <c r="F336" t="s">
        <v>32</v>
      </c>
      <c r="G336" s="1">
        <v>46043</v>
      </c>
      <c r="H336">
        <f t="shared" si="10"/>
        <v>4293.25</v>
      </c>
      <c r="I336" t="str">
        <f t="shared" si="11"/>
        <v>January</v>
      </c>
    </row>
    <row r="337" spans="1:9" x14ac:dyDescent="0.3">
      <c r="A337" t="s">
        <v>371</v>
      </c>
      <c r="B337" t="s">
        <v>16</v>
      </c>
      <c r="C337" t="s">
        <v>17</v>
      </c>
      <c r="D337">
        <v>2</v>
      </c>
      <c r="E337">
        <v>487.51</v>
      </c>
      <c r="F337" t="s">
        <v>10</v>
      </c>
      <c r="G337" s="1">
        <v>46190</v>
      </c>
      <c r="H337">
        <f t="shared" si="10"/>
        <v>975.02</v>
      </c>
      <c r="I337" t="str">
        <f t="shared" si="11"/>
        <v>June</v>
      </c>
    </row>
    <row r="338" spans="1:9" x14ac:dyDescent="0.3">
      <c r="A338" t="s">
        <v>372</v>
      </c>
      <c r="B338" t="s">
        <v>21</v>
      </c>
      <c r="C338" t="s">
        <v>13</v>
      </c>
      <c r="D338">
        <v>4</v>
      </c>
      <c r="E338">
        <v>25922.13</v>
      </c>
      <c r="F338" t="s">
        <v>18</v>
      </c>
      <c r="G338" s="1">
        <v>46102</v>
      </c>
      <c r="H338">
        <f t="shared" si="10"/>
        <v>103688.52</v>
      </c>
      <c r="I338" t="str">
        <f t="shared" si="11"/>
        <v>March</v>
      </c>
    </row>
    <row r="339" spans="1:9" x14ac:dyDescent="0.3">
      <c r="A339" t="s">
        <v>373</v>
      </c>
      <c r="B339" t="s">
        <v>80</v>
      </c>
      <c r="C339" t="s">
        <v>39</v>
      </c>
      <c r="D339">
        <v>4</v>
      </c>
      <c r="E339">
        <v>4320.53</v>
      </c>
      <c r="F339" t="s">
        <v>32</v>
      </c>
      <c r="G339" s="1">
        <v>46055</v>
      </c>
      <c r="H339">
        <f t="shared" si="10"/>
        <v>17282.12</v>
      </c>
      <c r="I339" t="str">
        <f t="shared" si="11"/>
        <v>February</v>
      </c>
    </row>
    <row r="340" spans="1:9" x14ac:dyDescent="0.3">
      <c r="A340" t="s">
        <v>374</v>
      </c>
      <c r="B340" t="s">
        <v>8</v>
      </c>
      <c r="C340" t="s">
        <v>9</v>
      </c>
      <c r="D340">
        <v>5</v>
      </c>
      <c r="E340">
        <v>1653.64</v>
      </c>
      <c r="F340" t="s">
        <v>48</v>
      </c>
      <c r="G340" s="1">
        <v>46153</v>
      </c>
      <c r="H340">
        <f t="shared" si="10"/>
        <v>8268.2000000000007</v>
      </c>
      <c r="I340" t="str">
        <f t="shared" si="11"/>
        <v>May</v>
      </c>
    </row>
    <row r="341" spans="1:9" x14ac:dyDescent="0.3">
      <c r="A341" t="s">
        <v>375</v>
      </c>
      <c r="B341" t="s">
        <v>55</v>
      </c>
      <c r="C341" t="s">
        <v>25</v>
      </c>
      <c r="D341">
        <v>1</v>
      </c>
      <c r="E341">
        <v>2430.33</v>
      </c>
      <c r="F341" t="s">
        <v>26</v>
      </c>
      <c r="G341" s="1">
        <v>46077</v>
      </c>
      <c r="H341">
        <f t="shared" si="10"/>
        <v>2430.33</v>
      </c>
      <c r="I341" t="str">
        <f t="shared" si="11"/>
        <v>February</v>
      </c>
    </row>
    <row r="342" spans="1:9" x14ac:dyDescent="0.3">
      <c r="A342" t="s">
        <v>376</v>
      </c>
      <c r="B342" t="s">
        <v>55</v>
      </c>
      <c r="C342" t="s">
        <v>25</v>
      </c>
      <c r="D342">
        <v>4</v>
      </c>
      <c r="E342">
        <v>2345.06</v>
      </c>
      <c r="F342" t="s">
        <v>26</v>
      </c>
      <c r="G342" s="1">
        <v>46062</v>
      </c>
      <c r="H342">
        <f t="shared" si="10"/>
        <v>9380.24</v>
      </c>
      <c r="I342" t="str">
        <f t="shared" si="11"/>
        <v>February</v>
      </c>
    </row>
    <row r="343" spans="1:9" x14ac:dyDescent="0.3">
      <c r="A343" t="s">
        <v>377</v>
      </c>
      <c r="B343" t="s">
        <v>31</v>
      </c>
      <c r="C343" t="s">
        <v>13</v>
      </c>
      <c r="D343">
        <v>3</v>
      </c>
      <c r="E343">
        <v>19239.939999999999</v>
      </c>
      <c r="F343" t="s">
        <v>18</v>
      </c>
      <c r="G343" s="1">
        <v>46152</v>
      </c>
      <c r="H343">
        <f t="shared" si="10"/>
        <v>57719.819999999992</v>
      </c>
      <c r="I343" t="str">
        <f t="shared" si="11"/>
        <v>May</v>
      </c>
    </row>
    <row r="344" spans="1:9" x14ac:dyDescent="0.3">
      <c r="A344" t="s">
        <v>378</v>
      </c>
      <c r="B344" t="s">
        <v>62</v>
      </c>
      <c r="C344" t="s">
        <v>25</v>
      </c>
      <c r="D344">
        <v>5</v>
      </c>
      <c r="E344">
        <v>2132.98</v>
      </c>
      <c r="F344" t="s">
        <v>14</v>
      </c>
      <c r="G344" s="1">
        <v>46032</v>
      </c>
      <c r="H344">
        <f t="shared" si="10"/>
        <v>10664.9</v>
      </c>
      <c r="I344" t="str">
        <f t="shared" si="11"/>
        <v>January</v>
      </c>
    </row>
    <row r="345" spans="1:9" x14ac:dyDescent="0.3">
      <c r="A345" t="s">
        <v>379</v>
      </c>
      <c r="B345" t="s">
        <v>8</v>
      </c>
      <c r="C345" t="s">
        <v>9</v>
      </c>
      <c r="D345">
        <v>3</v>
      </c>
      <c r="E345">
        <v>1935.5</v>
      </c>
      <c r="F345" t="s">
        <v>50</v>
      </c>
      <c r="G345" s="1">
        <v>46056</v>
      </c>
      <c r="H345">
        <f t="shared" si="10"/>
        <v>5806.5</v>
      </c>
      <c r="I345" t="str">
        <f t="shared" si="11"/>
        <v>February</v>
      </c>
    </row>
    <row r="346" spans="1:9" x14ac:dyDescent="0.3">
      <c r="A346" t="s">
        <v>380</v>
      </c>
      <c r="B346" t="s">
        <v>16</v>
      </c>
      <c r="C346" t="s">
        <v>17</v>
      </c>
      <c r="D346">
        <v>4</v>
      </c>
      <c r="E346">
        <v>418.88</v>
      </c>
      <c r="F346" t="s">
        <v>26</v>
      </c>
      <c r="G346" s="1">
        <v>46200</v>
      </c>
      <c r="H346">
        <f t="shared" si="10"/>
        <v>1675.52</v>
      </c>
      <c r="I346" t="str">
        <f t="shared" si="11"/>
        <v>June</v>
      </c>
    </row>
    <row r="347" spans="1:9" x14ac:dyDescent="0.3">
      <c r="A347" t="s">
        <v>381</v>
      </c>
      <c r="B347" t="s">
        <v>62</v>
      </c>
      <c r="C347" t="s">
        <v>25</v>
      </c>
      <c r="D347">
        <v>5</v>
      </c>
      <c r="E347">
        <v>2122.56</v>
      </c>
      <c r="F347" t="s">
        <v>26</v>
      </c>
      <c r="G347" s="1">
        <v>46135</v>
      </c>
      <c r="H347">
        <f t="shared" si="10"/>
        <v>10612.8</v>
      </c>
      <c r="I347" t="str">
        <f t="shared" si="11"/>
        <v>April</v>
      </c>
    </row>
    <row r="348" spans="1:9" x14ac:dyDescent="0.3">
      <c r="A348" t="s">
        <v>382</v>
      </c>
      <c r="B348" t="s">
        <v>91</v>
      </c>
      <c r="C348" t="s">
        <v>13</v>
      </c>
      <c r="D348">
        <v>4</v>
      </c>
      <c r="E348">
        <v>53507.29</v>
      </c>
      <c r="F348" t="s">
        <v>29</v>
      </c>
      <c r="G348" s="1">
        <v>46136</v>
      </c>
      <c r="H348">
        <f t="shared" si="10"/>
        <v>214029.16</v>
      </c>
      <c r="I348" t="str">
        <f t="shared" si="11"/>
        <v>April</v>
      </c>
    </row>
    <row r="349" spans="1:9" x14ac:dyDescent="0.3">
      <c r="A349" t="s">
        <v>383</v>
      </c>
      <c r="B349" t="s">
        <v>16</v>
      </c>
      <c r="C349" t="s">
        <v>17</v>
      </c>
      <c r="D349">
        <v>3</v>
      </c>
      <c r="E349">
        <v>472.72</v>
      </c>
      <c r="F349" t="s">
        <v>22</v>
      </c>
      <c r="G349" s="1">
        <v>46082</v>
      </c>
      <c r="H349">
        <f t="shared" si="10"/>
        <v>1418.16</v>
      </c>
      <c r="I349" t="str">
        <f t="shared" si="11"/>
        <v>March</v>
      </c>
    </row>
    <row r="350" spans="1:9" x14ac:dyDescent="0.3">
      <c r="A350" t="s">
        <v>384</v>
      </c>
      <c r="B350" t="s">
        <v>80</v>
      </c>
      <c r="C350" t="s">
        <v>39</v>
      </c>
      <c r="D350">
        <v>2</v>
      </c>
      <c r="E350">
        <v>4039.95</v>
      </c>
      <c r="F350" t="s">
        <v>22</v>
      </c>
      <c r="G350" s="1">
        <v>46072</v>
      </c>
      <c r="H350">
        <f t="shared" si="10"/>
        <v>8079.9</v>
      </c>
      <c r="I350" t="str">
        <f t="shared" si="11"/>
        <v>February</v>
      </c>
    </row>
    <row r="351" spans="1:9" x14ac:dyDescent="0.3">
      <c r="A351" t="s">
        <v>385</v>
      </c>
      <c r="B351" t="s">
        <v>55</v>
      </c>
      <c r="C351" t="s">
        <v>25</v>
      </c>
      <c r="D351">
        <v>5</v>
      </c>
      <c r="E351">
        <v>2741.12</v>
      </c>
      <c r="F351" t="s">
        <v>22</v>
      </c>
      <c r="G351" s="1">
        <v>46095</v>
      </c>
      <c r="H351">
        <f t="shared" si="10"/>
        <v>13705.599999999999</v>
      </c>
      <c r="I351" t="str">
        <f t="shared" si="11"/>
        <v>March</v>
      </c>
    </row>
    <row r="352" spans="1:9" x14ac:dyDescent="0.3">
      <c r="A352" t="s">
        <v>386</v>
      </c>
      <c r="B352" t="s">
        <v>62</v>
      </c>
      <c r="C352" t="s">
        <v>25</v>
      </c>
      <c r="D352">
        <v>4</v>
      </c>
      <c r="E352">
        <v>2000.16</v>
      </c>
      <c r="F352" t="s">
        <v>48</v>
      </c>
      <c r="G352" s="1">
        <v>46064</v>
      </c>
      <c r="H352">
        <f t="shared" si="10"/>
        <v>8000.64</v>
      </c>
      <c r="I352" t="str">
        <f t="shared" si="11"/>
        <v>February</v>
      </c>
    </row>
    <row r="353" spans="1:9" x14ac:dyDescent="0.3">
      <c r="A353" t="s">
        <v>387</v>
      </c>
      <c r="B353" t="s">
        <v>38</v>
      </c>
      <c r="C353" t="s">
        <v>39</v>
      </c>
      <c r="D353">
        <v>2</v>
      </c>
      <c r="E353">
        <v>6891.64</v>
      </c>
      <c r="F353" t="s">
        <v>26</v>
      </c>
      <c r="G353" s="1">
        <v>46087</v>
      </c>
      <c r="H353">
        <f t="shared" si="10"/>
        <v>13783.28</v>
      </c>
      <c r="I353" t="str">
        <f t="shared" si="11"/>
        <v>March</v>
      </c>
    </row>
    <row r="354" spans="1:9" x14ac:dyDescent="0.3">
      <c r="A354" t="s">
        <v>388</v>
      </c>
      <c r="B354" t="s">
        <v>91</v>
      </c>
      <c r="C354" t="s">
        <v>13</v>
      </c>
      <c r="D354">
        <v>4</v>
      </c>
      <c r="E354">
        <v>59115.29</v>
      </c>
      <c r="F354" t="s">
        <v>14</v>
      </c>
      <c r="G354" s="1">
        <v>46049</v>
      </c>
      <c r="H354">
        <f t="shared" si="10"/>
        <v>236461.16</v>
      </c>
      <c r="I354" t="str">
        <f t="shared" si="11"/>
        <v>January</v>
      </c>
    </row>
    <row r="355" spans="1:9" x14ac:dyDescent="0.3">
      <c r="A355" t="s">
        <v>389</v>
      </c>
      <c r="B355" t="s">
        <v>21</v>
      </c>
      <c r="C355" t="s">
        <v>13</v>
      </c>
      <c r="D355">
        <v>5</v>
      </c>
      <c r="E355">
        <v>29966.53</v>
      </c>
      <c r="F355" t="s">
        <v>10</v>
      </c>
      <c r="G355" s="1">
        <v>46044</v>
      </c>
      <c r="H355">
        <f t="shared" si="10"/>
        <v>149832.65</v>
      </c>
      <c r="I355" t="str">
        <f t="shared" si="11"/>
        <v>January</v>
      </c>
    </row>
    <row r="356" spans="1:9" x14ac:dyDescent="0.3">
      <c r="A356" t="s">
        <v>390</v>
      </c>
      <c r="B356" t="s">
        <v>62</v>
      </c>
      <c r="C356" t="s">
        <v>25</v>
      </c>
      <c r="D356">
        <v>2</v>
      </c>
      <c r="E356">
        <v>1908.16</v>
      </c>
      <c r="F356" t="s">
        <v>14</v>
      </c>
      <c r="G356" s="1">
        <v>46060</v>
      </c>
      <c r="H356">
        <f t="shared" si="10"/>
        <v>3816.32</v>
      </c>
      <c r="I356" t="str">
        <f t="shared" si="11"/>
        <v>February</v>
      </c>
    </row>
    <row r="357" spans="1:9" x14ac:dyDescent="0.3">
      <c r="A357" t="s">
        <v>391</v>
      </c>
      <c r="B357" t="s">
        <v>38</v>
      </c>
      <c r="C357" t="s">
        <v>39</v>
      </c>
      <c r="D357">
        <v>4</v>
      </c>
      <c r="E357">
        <v>5969.23</v>
      </c>
      <c r="F357" t="s">
        <v>29</v>
      </c>
      <c r="G357" s="1">
        <v>46138</v>
      </c>
      <c r="H357">
        <f t="shared" si="10"/>
        <v>23876.92</v>
      </c>
      <c r="I357" t="str">
        <f t="shared" si="11"/>
        <v>April</v>
      </c>
    </row>
    <row r="358" spans="1:9" x14ac:dyDescent="0.3">
      <c r="A358" t="s">
        <v>392</v>
      </c>
      <c r="B358" t="s">
        <v>55</v>
      </c>
      <c r="C358" t="s">
        <v>25</v>
      </c>
      <c r="D358">
        <v>1</v>
      </c>
      <c r="E358">
        <v>2456.4699999999998</v>
      </c>
      <c r="F358" t="s">
        <v>48</v>
      </c>
      <c r="G358" s="1">
        <v>46151</v>
      </c>
      <c r="H358">
        <f t="shared" si="10"/>
        <v>2456.4699999999998</v>
      </c>
      <c r="I358" t="str">
        <f t="shared" si="11"/>
        <v>May</v>
      </c>
    </row>
    <row r="359" spans="1:9" x14ac:dyDescent="0.3">
      <c r="A359" t="s">
        <v>393</v>
      </c>
      <c r="B359" t="s">
        <v>55</v>
      </c>
      <c r="C359" t="s">
        <v>25</v>
      </c>
      <c r="D359">
        <v>2</v>
      </c>
      <c r="E359">
        <v>2442.11</v>
      </c>
      <c r="F359" t="s">
        <v>18</v>
      </c>
      <c r="G359" s="1">
        <v>46118</v>
      </c>
      <c r="H359">
        <f t="shared" si="10"/>
        <v>4884.22</v>
      </c>
      <c r="I359" t="str">
        <f t="shared" si="11"/>
        <v>April</v>
      </c>
    </row>
    <row r="360" spans="1:9" x14ac:dyDescent="0.3">
      <c r="A360" t="s">
        <v>394</v>
      </c>
      <c r="B360" t="s">
        <v>12</v>
      </c>
      <c r="C360" t="s">
        <v>13</v>
      </c>
      <c r="D360">
        <v>1</v>
      </c>
      <c r="E360">
        <v>1445.61</v>
      </c>
      <c r="F360" t="s">
        <v>18</v>
      </c>
      <c r="G360" s="1">
        <v>46189</v>
      </c>
      <c r="H360">
        <f t="shared" si="10"/>
        <v>1445.61</v>
      </c>
      <c r="I360" t="str">
        <f t="shared" si="11"/>
        <v>June</v>
      </c>
    </row>
    <row r="361" spans="1:9" x14ac:dyDescent="0.3">
      <c r="A361" t="s">
        <v>395</v>
      </c>
      <c r="B361" t="s">
        <v>55</v>
      </c>
      <c r="C361" t="s">
        <v>25</v>
      </c>
      <c r="D361">
        <v>2</v>
      </c>
      <c r="E361">
        <v>2317.87</v>
      </c>
      <c r="F361" t="s">
        <v>10</v>
      </c>
      <c r="G361" s="1">
        <v>46143</v>
      </c>
      <c r="H361">
        <f t="shared" si="10"/>
        <v>4635.74</v>
      </c>
      <c r="I361" t="str">
        <f t="shared" si="11"/>
        <v>May</v>
      </c>
    </row>
    <row r="362" spans="1:9" x14ac:dyDescent="0.3">
      <c r="A362" t="s">
        <v>396</v>
      </c>
      <c r="B362" t="s">
        <v>21</v>
      </c>
      <c r="C362" t="s">
        <v>13</v>
      </c>
      <c r="D362">
        <v>2</v>
      </c>
      <c r="E362">
        <v>29449.51</v>
      </c>
      <c r="F362" t="s">
        <v>22</v>
      </c>
      <c r="G362" s="1">
        <v>46137</v>
      </c>
      <c r="H362">
        <f t="shared" si="10"/>
        <v>58899.02</v>
      </c>
      <c r="I362" t="str">
        <f t="shared" si="11"/>
        <v>April</v>
      </c>
    </row>
    <row r="363" spans="1:9" x14ac:dyDescent="0.3">
      <c r="A363" t="s">
        <v>397</v>
      </c>
      <c r="B363" t="s">
        <v>16</v>
      </c>
      <c r="C363" t="s">
        <v>17</v>
      </c>
      <c r="D363">
        <v>1</v>
      </c>
      <c r="E363">
        <v>486.53</v>
      </c>
      <c r="F363" t="s">
        <v>46</v>
      </c>
      <c r="G363" s="1">
        <v>46088</v>
      </c>
      <c r="H363">
        <f t="shared" si="10"/>
        <v>486.53</v>
      </c>
      <c r="I363" t="str">
        <f t="shared" si="11"/>
        <v>March</v>
      </c>
    </row>
    <row r="364" spans="1:9" x14ac:dyDescent="0.3">
      <c r="A364" t="s">
        <v>398</v>
      </c>
      <c r="B364" t="s">
        <v>12</v>
      </c>
      <c r="C364" t="s">
        <v>13</v>
      </c>
      <c r="D364">
        <v>2</v>
      </c>
      <c r="E364">
        <v>1514.64</v>
      </c>
      <c r="F364" t="s">
        <v>50</v>
      </c>
      <c r="G364" s="1">
        <v>46158</v>
      </c>
      <c r="H364">
        <f t="shared" si="10"/>
        <v>3029.28</v>
      </c>
      <c r="I364" t="str">
        <f t="shared" si="11"/>
        <v>May</v>
      </c>
    </row>
    <row r="365" spans="1:9" x14ac:dyDescent="0.3">
      <c r="A365" t="s">
        <v>399</v>
      </c>
      <c r="B365" t="s">
        <v>28</v>
      </c>
      <c r="C365" t="s">
        <v>9</v>
      </c>
      <c r="D365">
        <v>1</v>
      </c>
      <c r="E365">
        <v>5275.12</v>
      </c>
      <c r="F365" t="s">
        <v>29</v>
      </c>
      <c r="G365" s="1">
        <v>46100</v>
      </c>
      <c r="H365">
        <f t="shared" si="10"/>
        <v>5275.12</v>
      </c>
      <c r="I365" t="str">
        <f t="shared" si="11"/>
        <v>March</v>
      </c>
    </row>
    <row r="366" spans="1:9" x14ac:dyDescent="0.3">
      <c r="A366" t="s">
        <v>400</v>
      </c>
      <c r="B366" t="s">
        <v>31</v>
      </c>
      <c r="C366" t="s">
        <v>13</v>
      </c>
      <c r="D366">
        <v>1</v>
      </c>
      <c r="E366">
        <v>17058.38</v>
      </c>
      <c r="F366" t="s">
        <v>50</v>
      </c>
      <c r="G366" s="1">
        <v>46140</v>
      </c>
      <c r="H366">
        <f t="shared" si="10"/>
        <v>17058.38</v>
      </c>
      <c r="I366" t="str">
        <f t="shared" si="11"/>
        <v>April</v>
      </c>
    </row>
    <row r="367" spans="1:9" x14ac:dyDescent="0.3">
      <c r="A367" t="s">
        <v>401</v>
      </c>
      <c r="B367" t="s">
        <v>31</v>
      </c>
      <c r="C367" t="s">
        <v>13</v>
      </c>
      <c r="D367">
        <v>1</v>
      </c>
      <c r="E367">
        <v>19212.080000000002</v>
      </c>
      <c r="F367" t="s">
        <v>22</v>
      </c>
      <c r="G367" s="1">
        <v>46175</v>
      </c>
      <c r="H367">
        <f t="shared" si="10"/>
        <v>19212.080000000002</v>
      </c>
      <c r="I367" t="str">
        <f t="shared" si="11"/>
        <v>June</v>
      </c>
    </row>
    <row r="368" spans="1:9" x14ac:dyDescent="0.3">
      <c r="A368" t="s">
        <v>402</v>
      </c>
      <c r="B368" t="s">
        <v>80</v>
      </c>
      <c r="C368" t="s">
        <v>39</v>
      </c>
      <c r="D368">
        <v>1</v>
      </c>
      <c r="E368">
        <v>4310.84</v>
      </c>
      <c r="F368" t="s">
        <v>50</v>
      </c>
      <c r="G368" s="1">
        <v>46084</v>
      </c>
      <c r="H368">
        <f t="shared" si="10"/>
        <v>4310.84</v>
      </c>
      <c r="I368" t="str">
        <f t="shared" si="11"/>
        <v>March</v>
      </c>
    </row>
    <row r="369" spans="1:9" x14ac:dyDescent="0.3">
      <c r="A369" t="s">
        <v>403</v>
      </c>
      <c r="B369" t="s">
        <v>21</v>
      </c>
      <c r="C369" t="s">
        <v>13</v>
      </c>
      <c r="D369">
        <v>2</v>
      </c>
      <c r="E369">
        <v>26831.119999999999</v>
      </c>
      <c r="F369" t="s">
        <v>46</v>
      </c>
      <c r="G369" s="1">
        <v>46180</v>
      </c>
      <c r="H369">
        <f t="shared" si="10"/>
        <v>53662.239999999998</v>
      </c>
      <c r="I369" t="str">
        <f t="shared" si="11"/>
        <v>June</v>
      </c>
    </row>
    <row r="370" spans="1:9" x14ac:dyDescent="0.3">
      <c r="A370" t="s">
        <v>404</v>
      </c>
      <c r="B370" t="s">
        <v>55</v>
      </c>
      <c r="C370" t="s">
        <v>25</v>
      </c>
      <c r="D370">
        <v>2</v>
      </c>
      <c r="E370">
        <v>2534.3200000000002</v>
      </c>
      <c r="F370" t="s">
        <v>26</v>
      </c>
      <c r="G370" s="1">
        <v>46193</v>
      </c>
      <c r="H370">
        <f t="shared" si="10"/>
        <v>5068.6400000000003</v>
      </c>
      <c r="I370" t="str">
        <f t="shared" si="11"/>
        <v>June</v>
      </c>
    </row>
    <row r="371" spans="1:9" x14ac:dyDescent="0.3">
      <c r="A371" t="s">
        <v>405</v>
      </c>
      <c r="B371" t="s">
        <v>8</v>
      </c>
      <c r="C371" t="s">
        <v>9</v>
      </c>
      <c r="D371">
        <v>1</v>
      </c>
      <c r="E371">
        <v>1808.45</v>
      </c>
      <c r="F371" t="s">
        <v>32</v>
      </c>
      <c r="G371" s="1">
        <v>46040</v>
      </c>
      <c r="H371">
        <f t="shared" si="10"/>
        <v>1808.45</v>
      </c>
      <c r="I371" t="str">
        <f t="shared" si="11"/>
        <v>January</v>
      </c>
    </row>
    <row r="372" spans="1:9" x14ac:dyDescent="0.3">
      <c r="A372" t="s">
        <v>406</v>
      </c>
      <c r="B372" t="s">
        <v>80</v>
      </c>
      <c r="C372" t="s">
        <v>39</v>
      </c>
      <c r="D372">
        <v>5</v>
      </c>
      <c r="E372">
        <v>4206.16</v>
      </c>
      <c r="F372" t="s">
        <v>14</v>
      </c>
      <c r="G372" s="1">
        <v>46164</v>
      </c>
      <c r="H372">
        <f t="shared" si="10"/>
        <v>21030.799999999999</v>
      </c>
      <c r="I372" t="str">
        <f t="shared" si="11"/>
        <v>May</v>
      </c>
    </row>
    <row r="373" spans="1:9" x14ac:dyDescent="0.3">
      <c r="A373" t="s">
        <v>407</v>
      </c>
      <c r="B373" t="s">
        <v>91</v>
      </c>
      <c r="C373" t="s">
        <v>13</v>
      </c>
      <c r="D373">
        <v>4</v>
      </c>
      <c r="E373">
        <v>59106.65</v>
      </c>
      <c r="F373" t="s">
        <v>46</v>
      </c>
      <c r="G373" s="1">
        <v>46185</v>
      </c>
      <c r="H373">
        <f t="shared" si="10"/>
        <v>236426.6</v>
      </c>
      <c r="I373" t="str">
        <f t="shared" si="11"/>
        <v>June</v>
      </c>
    </row>
    <row r="374" spans="1:9" x14ac:dyDescent="0.3">
      <c r="A374" t="s">
        <v>408</v>
      </c>
      <c r="B374" t="s">
        <v>28</v>
      </c>
      <c r="C374" t="s">
        <v>9</v>
      </c>
      <c r="D374">
        <v>3</v>
      </c>
      <c r="E374">
        <v>4752.7</v>
      </c>
      <c r="F374" t="s">
        <v>46</v>
      </c>
      <c r="G374" s="1">
        <v>46114</v>
      </c>
      <c r="H374">
        <f t="shared" si="10"/>
        <v>14258.099999999999</v>
      </c>
      <c r="I374" t="str">
        <f t="shared" si="11"/>
        <v>April</v>
      </c>
    </row>
    <row r="375" spans="1:9" x14ac:dyDescent="0.3">
      <c r="A375" t="s">
        <v>409</v>
      </c>
      <c r="B375" t="s">
        <v>62</v>
      </c>
      <c r="C375" t="s">
        <v>25</v>
      </c>
      <c r="D375">
        <v>1</v>
      </c>
      <c r="E375">
        <v>1936.95</v>
      </c>
      <c r="F375" t="s">
        <v>18</v>
      </c>
      <c r="G375" s="1">
        <v>46171</v>
      </c>
      <c r="H375">
        <f t="shared" si="10"/>
        <v>1936.95</v>
      </c>
      <c r="I375" t="str">
        <f t="shared" si="11"/>
        <v>May</v>
      </c>
    </row>
    <row r="376" spans="1:9" x14ac:dyDescent="0.3">
      <c r="A376" t="s">
        <v>410</v>
      </c>
      <c r="B376" t="s">
        <v>21</v>
      </c>
      <c r="C376" t="s">
        <v>13</v>
      </c>
      <c r="D376">
        <v>3</v>
      </c>
      <c r="E376">
        <v>25947.09</v>
      </c>
      <c r="F376" t="s">
        <v>32</v>
      </c>
      <c r="G376" s="1">
        <v>46162</v>
      </c>
      <c r="H376">
        <f t="shared" si="10"/>
        <v>77841.27</v>
      </c>
      <c r="I376" t="str">
        <f t="shared" si="11"/>
        <v>May</v>
      </c>
    </row>
    <row r="377" spans="1:9" x14ac:dyDescent="0.3">
      <c r="A377" t="s">
        <v>411</v>
      </c>
      <c r="B377" t="s">
        <v>55</v>
      </c>
      <c r="C377" t="s">
        <v>25</v>
      </c>
      <c r="D377">
        <v>2</v>
      </c>
      <c r="E377">
        <v>2664.13</v>
      </c>
      <c r="F377" t="s">
        <v>22</v>
      </c>
      <c r="G377" s="1">
        <v>46201</v>
      </c>
      <c r="H377">
        <f t="shared" si="10"/>
        <v>5328.26</v>
      </c>
      <c r="I377" t="str">
        <f t="shared" si="11"/>
        <v>June</v>
      </c>
    </row>
    <row r="378" spans="1:9" x14ac:dyDescent="0.3">
      <c r="A378" t="s">
        <v>412</v>
      </c>
      <c r="B378" t="s">
        <v>44</v>
      </c>
      <c r="C378" t="s">
        <v>39</v>
      </c>
      <c r="D378">
        <v>2</v>
      </c>
      <c r="E378">
        <v>3718.05</v>
      </c>
      <c r="F378" t="s">
        <v>18</v>
      </c>
      <c r="G378" s="1">
        <v>46140</v>
      </c>
      <c r="H378">
        <f t="shared" si="10"/>
        <v>7436.1</v>
      </c>
      <c r="I378" t="str">
        <f t="shared" si="11"/>
        <v>April</v>
      </c>
    </row>
    <row r="379" spans="1:9" x14ac:dyDescent="0.3">
      <c r="A379" t="s">
        <v>413</v>
      </c>
      <c r="B379" t="s">
        <v>91</v>
      </c>
      <c r="C379" t="s">
        <v>13</v>
      </c>
      <c r="D379">
        <v>3</v>
      </c>
      <c r="E379">
        <v>51717.5</v>
      </c>
      <c r="F379" t="s">
        <v>29</v>
      </c>
      <c r="G379" s="1">
        <v>46033</v>
      </c>
      <c r="H379">
        <f t="shared" si="10"/>
        <v>155152.5</v>
      </c>
      <c r="I379" t="str">
        <f t="shared" si="11"/>
        <v>January</v>
      </c>
    </row>
    <row r="380" spans="1:9" x14ac:dyDescent="0.3">
      <c r="A380" t="s">
        <v>414</v>
      </c>
      <c r="B380" t="s">
        <v>55</v>
      </c>
      <c r="C380" t="s">
        <v>25</v>
      </c>
      <c r="D380">
        <v>3</v>
      </c>
      <c r="E380">
        <v>2506.69</v>
      </c>
      <c r="F380" t="s">
        <v>14</v>
      </c>
      <c r="G380" s="1">
        <v>46144</v>
      </c>
      <c r="H380">
        <f t="shared" si="10"/>
        <v>7520.07</v>
      </c>
      <c r="I380" t="str">
        <f t="shared" si="11"/>
        <v>May</v>
      </c>
    </row>
    <row r="381" spans="1:9" x14ac:dyDescent="0.3">
      <c r="A381" t="s">
        <v>415</v>
      </c>
      <c r="B381" t="s">
        <v>24</v>
      </c>
      <c r="C381" t="s">
        <v>25</v>
      </c>
      <c r="D381">
        <v>1</v>
      </c>
      <c r="E381">
        <v>839.48</v>
      </c>
      <c r="F381" t="s">
        <v>29</v>
      </c>
      <c r="G381" s="1">
        <v>46096</v>
      </c>
      <c r="H381">
        <f t="shared" si="10"/>
        <v>839.48</v>
      </c>
      <c r="I381" t="str">
        <f t="shared" si="11"/>
        <v>March</v>
      </c>
    </row>
    <row r="382" spans="1:9" x14ac:dyDescent="0.3">
      <c r="A382" t="s">
        <v>416</v>
      </c>
      <c r="B382" t="s">
        <v>55</v>
      </c>
      <c r="C382" t="s">
        <v>25</v>
      </c>
      <c r="D382">
        <v>1</v>
      </c>
      <c r="E382">
        <v>2681.83</v>
      </c>
      <c r="F382" t="s">
        <v>32</v>
      </c>
      <c r="G382" s="1">
        <v>46092</v>
      </c>
      <c r="H382">
        <f t="shared" si="10"/>
        <v>2681.83</v>
      </c>
      <c r="I382" t="str">
        <f t="shared" si="11"/>
        <v>March</v>
      </c>
    </row>
    <row r="383" spans="1:9" x14ac:dyDescent="0.3">
      <c r="A383" t="s">
        <v>417</v>
      </c>
      <c r="B383" t="s">
        <v>31</v>
      </c>
      <c r="C383" t="s">
        <v>13</v>
      </c>
      <c r="D383">
        <v>3</v>
      </c>
      <c r="E383">
        <v>17773.02</v>
      </c>
      <c r="F383" t="s">
        <v>48</v>
      </c>
      <c r="G383" s="1">
        <v>46135</v>
      </c>
      <c r="H383">
        <f t="shared" si="10"/>
        <v>53319.06</v>
      </c>
      <c r="I383" t="str">
        <f t="shared" si="11"/>
        <v>April</v>
      </c>
    </row>
    <row r="384" spans="1:9" x14ac:dyDescent="0.3">
      <c r="A384" t="s">
        <v>418</v>
      </c>
      <c r="B384" t="s">
        <v>28</v>
      </c>
      <c r="C384" t="s">
        <v>9</v>
      </c>
      <c r="D384">
        <v>3</v>
      </c>
      <c r="E384">
        <v>5472.63</v>
      </c>
      <c r="F384" t="s">
        <v>22</v>
      </c>
      <c r="G384" s="1">
        <v>46200</v>
      </c>
      <c r="H384">
        <f t="shared" si="10"/>
        <v>16417.89</v>
      </c>
      <c r="I384" t="str">
        <f t="shared" si="11"/>
        <v>June</v>
      </c>
    </row>
    <row r="385" spans="1:9" x14ac:dyDescent="0.3">
      <c r="A385" t="s">
        <v>419</v>
      </c>
      <c r="B385" t="s">
        <v>44</v>
      </c>
      <c r="C385" t="s">
        <v>39</v>
      </c>
      <c r="D385">
        <v>3</v>
      </c>
      <c r="E385">
        <v>3797.02</v>
      </c>
      <c r="F385" t="s">
        <v>14</v>
      </c>
      <c r="G385" s="1">
        <v>46091</v>
      </c>
      <c r="H385">
        <f t="shared" si="10"/>
        <v>11391.06</v>
      </c>
      <c r="I385" t="str">
        <f t="shared" si="11"/>
        <v>March</v>
      </c>
    </row>
    <row r="386" spans="1:9" x14ac:dyDescent="0.3">
      <c r="A386" t="s">
        <v>420</v>
      </c>
      <c r="B386" t="s">
        <v>62</v>
      </c>
      <c r="C386" t="s">
        <v>25</v>
      </c>
      <c r="D386">
        <v>1</v>
      </c>
      <c r="E386">
        <v>2089.79</v>
      </c>
      <c r="F386" t="s">
        <v>18</v>
      </c>
      <c r="G386" s="1">
        <v>46133</v>
      </c>
      <c r="H386">
        <f t="shared" si="10"/>
        <v>2089.79</v>
      </c>
      <c r="I386" t="str">
        <f t="shared" si="11"/>
        <v>April</v>
      </c>
    </row>
    <row r="387" spans="1:9" x14ac:dyDescent="0.3">
      <c r="A387" t="s">
        <v>421</v>
      </c>
      <c r="B387" t="s">
        <v>16</v>
      </c>
      <c r="C387" t="s">
        <v>17</v>
      </c>
      <c r="D387">
        <v>2</v>
      </c>
      <c r="E387">
        <v>454.09</v>
      </c>
      <c r="F387" t="s">
        <v>32</v>
      </c>
      <c r="G387" s="1">
        <v>46049</v>
      </c>
      <c r="H387">
        <f t="shared" ref="H387:H450" si="12">D387*E387</f>
        <v>908.18</v>
      </c>
      <c r="I387" t="str">
        <f t="shared" ref="I387:I450" si="13">TEXT(G387, "mmmm")</f>
        <v>January</v>
      </c>
    </row>
    <row r="388" spans="1:9" x14ac:dyDescent="0.3">
      <c r="A388" t="s">
        <v>422</v>
      </c>
      <c r="B388" t="s">
        <v>31</v>
      </c>
      <c r="C388" t="s">
        <v>13</v>
      </c>
      <c r="D388">
        <v>3</v>
      </c>
      <c r="E388">
        <v>18579.310000000001</v>
      </c>
      <c r="F388" t="s">
        <v>10</v>
      </c>
      <c r="G388" s="1">
        <v>46137</v>
      </c>
      <c r="H388">
        <f t="shared" si="12"/>
        <v>55737.930000000008</v>
      </c>
      <c r="I388" t="str">
        <f t="shared" si="13"/>
        <v>April</v>
      </c>
    </row>
    <row r="389" spans="1:9" x14ac:dyDescent="0.3">
      <c r="A389" t="s">
        <v>423</v>
      </c>
      <c r="B389" t="s">
        <v>16</v>
      </c>
      <c r="C389" t="s">
        <v>17</v>
      </c>
      <c r="D389">
        <v>4</v>
      </c>
      <c r="E389">
        <v>420</v>
      </c>
      <c r="F389" t="s">
        <v>22</v>
      </c>
      <c r="G389" s="1">
        <v>46112</v>
      </c>
      <c r="H389">
        <f t="shared" si="12"/>
        <v>1680</v>
      </c>
      <c r="I389" t="str">
        <f t="shared" si="13"/>
        <v>March</v>
      </c>
    </row>
    <row r="390" spans="1:9" x14ac:dyDescent="0.3">
      <c r="A390" t="s">
        <v>424</v>
      </c>
      <c r="B390" t="s">
        <v>44</v>
      </c>
      <c r="C390" t="s">
        <v>39</v>
      </c>
      <c r="D390">
        <v>1</v>
      </c>
      <c r="E390">
        <v>3658.77</v>
      </c>
      <c r="F390" t="s">
        <v>32</v>
      </c>
      <c r="G390" s="1">
        <v>46180</v>
      </c>
      <c r="H390">
        <f t="shared" si="12"/>
        <v>3658.77</v>
      </c>
      <c r="I390" t="str">
        <f t="shared" si="13"/>
        <v>June</v>
      </c>
    </row>
    <row r="391" spans="1:9" x14ac:dyDescent="0.3">
      <c r="A391" t="s">
        <v>425</v>
      </c>
      <c r="B391" t="s">
        <v>28</v>
      </c>
      <c r="C391" t="s">
        <v>9</v>
      </c>
      <c r="D391">
        <v>3</v>
      </c>
      <c r="E391">
        <v>5138.4399999999996</v>
      </c>
      <c r="F391" t="s">
        <v>46</v>
      </c>
      <c r="G391" s="1">
        <v>46042</v>
      </c>
      <c r="H391">
        <f t="shared" si="12"/>
        <v>15415.32</v>
      </c>
      <c r="I391" t="str">
        <f t="shared" si="13"/>
        <v>January</v>
      </c>
    </row>
    <row r="392" spans="1:9" x14ac:dyDescent="0.3">
      <c r="A392" t="s">
        <v>426</v>
      </c>
      <c r="B392" t="s">
        <v>8</v>
      </c>
      <c r="C392" t="s">
        <v>9</v>
      </c>
      <c r="D392">
        <v>4</v>
      </c>
      <c r="E392">
        <v>1750.79</v>
      </c>
      <c r="F392" t="s">
        <v>26</v>
      </c>
      <c r="G392" s="1">
        <v>46030</v>
      </c>
      <c r="H392">
        <f t="shared" si="12"/>
        <v>7003.16</v>
      </c>
      <c r="I392" t="str">
        <f t="shared" si="13"/>
        <v>January</v>
      </c>
    </row>
    <row r="393" spans="1:9" x14ac:dyDescent="0.3">
      <c r="A393" t="s">
        <v>427</v>
      </c>
      <c r="B393" t="s">
        <v>72</v>
      </c>
      <c r="C393" t="s">
        <v>13</v>
      </c>
      <c r="D393">
        <v>5</v>
      </c>
      <c r="E393">
        <v>2278.36</v>
      </c>
      <c r="F393" t="s">
        <v>22</v>
      </c>
      <c r="G393" s="1">
        <v>46031</v>
      </c>
      <c r="H393">
        <f t="shared" si="12"/>
        <v>11391.800000000001</v>
      </c>
      <c r="I393" t="str">
        <f t="shared" si="13"/>
        <v>January</v>
      </c>
    </row>
    <row r="394" spans="1:9" x14ac:dyDescent="0.3">
      <c r="A394" t="s">
        <v>428</v>
      </c>
      <c r="B394" t="s">
        <v>72</v>
      </c>
      <c r="C394" t="s">
        <v>13</v>
      </c>
      <c r="D394">
        <v>1</v>
      </c>
      <c r="E394">
        <v>2083.84</v>
      </c>
      <c r="F394" t="s">
        <v>32</v>
      </c>
      <c r="G394" s="1">
        <v>46115</v>
      </c>
      <c r="H394">
        <f t="shared" si="12"/>
        <v>2083.84</v>
      </c>
      <c r="I394" t="str">
        <f t="shared" si="13"/>
        <v>April</v>
      </c>
    </row>
    <row r="395" spans="1:9" x14ac:dyDescent="0.3">
      <c r="A395" t="s">
        <v>429</v>
      </c>
      <c r="B395" t="s">
        <v>28</v>
      </c>
      <c r="C395" t="s">
        <v>9</v>
      </c>
      <c r="D395">
        <v>5</v>
      </c>
      <c r="E395">
        <v>4531.4799999999996</v>
      </c>
      <c r="F395" t="s">
        <v>26</v>
      </c>
      <c r="G395" s="1">
        <v>46196</v>
      </c>
      <c r="H395">
        <f t="shared" si="12"/>
        <v>22657.399999999998</v>
      </c>
      <c r="I395" t="str">
        <f t="shared" si="13"/>
        <v>June</v>
      </c>
    </row>
    <row r="396" spans="1:9" x14ac:dyDescent="0.3">
      <c r="A396" t="s">
        <v>430</v>
      </c>
      <c r="B396" t="s">
        <v>44</v>
      </c>
      <c r="C396" t="s">
        <v>39</v>
      </c>
      <c r="D396">
        <v>3</v>
      </c>
      <c r="E396">
        <v>3410.41</v>
      </c>
      <c r="F396" t="s">
        <v>18</v>
      </c>
      <c r="G396" s="1">
        <v>46169</v>
      </c>
      <c r="H396">
        <f t="shared" si="12"/>
        <v>10231.23</v>
      </c>
      <c r="I396" t="str">
        <f t="shared" si="13"/>
        <v>May</v>
      </c>
    </row>
    <row r="397" spans="1:9" x14ac:dyDescent="0.3">
      <c r="A397" t="s">
        <v>431</v>
      </c>
      <c r="B397" t="s">
        <v>72</v>
      </c>
      <c r="C397" t="s">
        <v>13</v>
      </c>
      <c r="D397">
        <v>5</v>
      </c>
      <c r="E397">
        <v>2141.46</v>
      </c>
      <c r="F397" t="s">
        <v>32</v>
      </c>
      <c r="G397" s="1">
        <v>46189</v>
      </c>
      <c r="H397">
        <f t="shared" si="12"/>
        <v>10707.3</v>
      </c>
      <c r="I397" t="str">
        <f t="shared" si="13"/>
        <v>June</v>
      </c>
    </row>
    <row r="398" spans="1:9" x14ac:dyDescent="0.3">
      <c r="A398" t="s">
        <v>432</v>
      </c>
      <c r="B398" t="s">
        <v>24</v>
      </c>
      <c r="C398" t="s">
        <v>25</v>
      </c>
      <c r="D398">
        <v>2</v>
      </c>
      <c r="E398">
        <v>872.59</v>
      </c>
      <c r="F398" t="s">
        <v>46</v>
      </c>
      <c r="G398" s="1">
        <v>46070</v>
      </c>
      <c r="H398">
        <f t="shared" si="12"/>
        <v>1745.18</v>
      </c>
      <c r="I398" t="str">
        <f t="shared" si="13"/>
        <v>February</v>
      </c>
    </row>
    <row r="399" spans="1:9" x14ac:dyDescent="0.3">
      <c r="A399" t="s">
        <v>433</v>
      </c>
      <c r="B399" t="s">
        <v>44</v>
      </c>
      <c r="C399" t="s">
        <v>39</v>
      </c>
      <c r="D399">
        <v>5</v>
      </c>
      <c r="E399">
        <v>3420.89</v>
      </c>
      <c r="F399" t="s">
        <v>14</v>
      </c>
      <c r="G399" s="1">
        <v>46053</v>
      </c>
      <c r="H399">
        <f t="shared" si="12"/>
        <v>17104.45</v>
      </c>
      <c r="I399" t="str">
        <f t="shared" si="13"/>
        <v>January</v>
      </c>
    </row>
    <row r="400" spans="1:9" x14ac:dyDescent="0.3">
      <c r="A400" t="s">
        <v>434</v>
      </c>
      <c r="B400" t="s">
        <v>24</v>
      </c>
      <c r="C400" t="s">
        <v>25</v>
      </c>
      <c r="D400">
        <v>3</v>
      </c>
      <c r="E400">
        <v>831.61</v>
      </c>
      <c r="F400" t="s">
        <v>29</v>
      </c>
      <c r="G400" s="1">
        <v>46179</v>
      </c>
      <c r="H400">
        <f t="shared" si="12"/>
        <v>2494.83</v>
      </c>
      <c r="I400" t="str">
        <f t="shared" si="13"/>
        <v>June</v>
      </c>
    </row>
    <row r="401" spans="1:9" x14ac:dyDescent="0.3">
      <c r="A401" t="s">
        <v>435</v>
      </c>
      <c r="B401" t="s">
        <v>24</v>
      </c>
      <c r="C401" t="s">
        <v>25</v>
      </c>
      <c r="D401">
        <v>4</v>
      </c>
      <c r="E401">
        <v>751.09</v>
      </c>
      <c r="F401" t="s">
        <v>26</v>
      </c>
      <c r="G401" s="1">
        <v>46041</v>
      </c>
      <c r="H401">
        <f t="shared" si="12"/>
        <v>3004.36</v>
      </c>
      <c r="I401" t="str">
        <f t="shared" si="13"/>
        <v>January</v>
      </c>
    </row>
    <row r="402" spans="1:9" x14ac:dyDescent="0.3">
      <c r="A402" t="s">
        <v>436</v>
      </c>
      <c r="B402" t="s">
        <v>44</v>
      </c>
      <c r="C402" t="s">
        <v>39</v>
      </c>
      <c r="D402">
        <v>2</v>
      </c>
      <c r="E402">
        <v>3779.08</v>
      </c>
      <c r="F402" t="s">
        <v>22</v>
      </c>
      <c r="G402" s="1">
        <v>46045</v>
      </c>
      <c r="H402">
        <f t="shared" si="12"/>
        <v>7558.16</v>
      </c>
      <c r="I402" t="str">
        <f t="shared" si="13"/>
        <v>January</v>
      </c>
    </row>
    <row r="403" spans="1:9" x14ac:dyDescent="0.3">
      <c r="A403" t="s">
        <v>437</v>
      </c>
      <c r="B403" t="s">
        <v>62</v>
      </c>
      <c r="C403" t="s">
        <v>25</v>
      </c>
      <c r="D403">
        <v>3</v>
      </c>
      <c r="E403">
        <v>2066.1</v>
      </c>
      <c r="F403" t="s">
        <v>18</v>
      </c>
      <c r="G403" s="1">
        <v>46163</v>
      </c>
      <c r="H403">
        <f t="shared" si="12"/>
        <v>6198.2999999999993</v>
      </c>
      <c r="I403" t="str">
        <f t="shared" si="13"/>
        <v>May</v>
      </c>
    </row>
    <row r="404" spans="1:9" x14ac:dyDescent="0.3">
      <c r="A404" t="s">
        <v>438</v>
      </c>
      <c r="B404" t="s">
        <v>80</v>
      </c>
      <c r="C404" t="s">
        <v>39</v>
      </c>
      <c r="D404">
        <v>3</v>
      </c>
      <c r="E404">
        <v>4528.72</v>
      </c>
      <c r="F404" t="s">
        <v>26</v>
      </c>
      <c r="G404" s="1">
        <v>46202</v>
      </c>
      <c r="H404">
        <f t="shared" si="12"/>
        <v>13586.16</v>
      </c>
      <c r="I404" t="str">
        <f t="shared" si="13"/>
        <v>June</v>
      </c>
    </row>
    <row r="405" spans="1:9" x14ac:dyDescent="0.3">
      <c r="A405" t="s">
        <v>439</v>
      </c>
      <c r="B405" t="s">
        <v>8</v>
      </c>
      <c r="C405" t="s">
        <v>9</v>
      </c>
      <c r="D405">
        <v>2</v>
      </c>
      <c r="E405">
        <v>1905.73</v>
      </c>
      <c r="F405" t="s">
        <v>14</v>
      </c>
      <c r="G405" s="1">
        <v>46080</v>
      </c>
      <c r="H405">
        <f t="shared" si="12"/>
        <v>3811.46</v>
      </c>
      <c r="I405" t="str">
        <f t="shared" si="13"/>
        <v>February</v>
      </c>
    </row>
    <row r="406" spans="1:9" x14ac:dyDescent="0.3">
      <c r="A406" t="s">
        <v>440</v>
      </c>
      <c r="B406" t="s">
        <v>31</v>
      </c>
      <c r="C406" t="s">
        <v>13</v>
      </c>
      <c r="D406">
        <v>2</v>
      </c>
      <c r="E406">
        <v>19051.439999999999</v>
      </c>
      <c r="F406" t="s">
        <v>29</v>
      </c>
      <c r="G406" s="1">
        <v>46149</v>
      </c>
      <c r="H406">
        <f t="shared" si="12"/>
        <v>38102.879999999997</v>
      </c>
      <c r="I406" t="str">
        <f t="shared" si="13"/>
        <v>May</v>
      </c>
    </row>
    <row r="407" spans="1:9" x14ac:dyDescent="0.3">
      <c r="A407" t="s">
        <v>441</v>
      </c>
      <c r="B407" t="s">
        <v>91</v>
      </c>
      <c r="C407" t="s">
        <v>13</v>
      </c>
      <c r="D407">
        <v>3</v>
      </c>
      <c r="E407">
        <v>55594.239999999998</v>
      </c>
      <c r="F407" t="s">
        <v>32</v>
      </c>
      <c r="G407" s="1">
        <v>46142</v>
      </c>
      <c r="H407">
        <f t="shared" si="12"/>
        <v>166782.72</v>
      </c>
      <c r="I407" t="str">
        <f t="shared" si="13"/>
        <v>April</v>
      </c>
    </row>
    <row r="408" spans="1:9" x14ac:dyDescent="0.3">
      <c r="A408" t="s">
        <v>442</v>
      </c>
      <c r="B408" t="s">
        <v>62</v>
      </c>
      <c r="C408" t="s">
        <v>25</v>
      </c>
      <c r="D408">
        <v>5</v>
      </c>
      <c r="E408">
        <v>1850.98</v>
      </c>
      <c r="F408" t="s">
        <v>18</v>
      </c>
      <c r="G408" s="1">
        <v>46039</v>
      </c>
      <c r="H408">
        <f t="shared" si="12"/>
        <v>9254.9</v>
      </c>
      <c r="I408" t="str">
        <f t="shared" si="13"/>
        <v>January</v>
      </c>
    </row>
    <row r="409" spans="1:9" x14ac:dyDescent="0.3">
      <c r="A409" t="s">
        <v>443</v>
      </c>
      <c r="B409" t="s">
        <v>24</v>
      </c>
      <c r="C409" t="s">
        <v>25</v>
      </c>
      <c r="D409">
        <v>4</v>
      </c>
      <c r="E409">
        <v>878.84</v>
      </c>
      <c r="F409" t="s">
        <v>22</v>
      </c>
      <c r="G409" s="1">
        <v>46157</v>
      </c>
      <c r="H409">
        <f t="shared" si="12"/>
        <v>3515.36</v>
      </c>
      <c r="I409" t="str">
        <f t="shared" si="13"/>
        <v>May</v>
      </c>
    </row>
    <row r="410" spans="1:9" x14ac:dyDescent="0.3">
      <c r="A410" t="s">
        <v>444</v>
      </c>
      <c r="B410" t="s">
        <v>28</v>
      </c>
      <c r="C410" t="s">
        <v>9</v>
      </c>
      <c r="D410">
        <v>4</v>
      </c>
      <c r="E410">
        <v>5322.27</v>
      </c>
      <c r="F410" t="s">
        <v>18</v>
      </c>
      <c r="G410" s="1">
        <v>46055</v>
      </c>
      <c r="H410">
        <f t="shared" si="12"/>
        <v>21289.08</v>
      </c>
      <c r="I410" t="str">
        <f t="shared" si="13"/>
        <v>February</v>
      </c>
    </row>
    <row r="411" spans="1:9" x14ac:dyDescent="0.3">
      <c r="A411" t="s">
        <v>445</v>
      </c>
      <c r="B411" t="s">
        <v>55</v>
      </c>
      <c r="C411" t="s">
        <v>25</v>
      </c>
      <c r="D411">
        <v>1</v>
      </c>
      <c r="E411">
        <v>2474</v>
      </c>
      <c r="F411" t="s">
        <v>14</v>
      </c>
      <c r="G411" s="1">
        <v>46111</v>
      </c>
      <c r="H411">
        <f t="shared" si="12"/>
        <v>2474</v>
      </c>
      <c r="I411" t="str">
        <f t="shared" si="13"/>
        <v>March</v>
      </c>
    </row>
    <row r="412" spans="1:9" x14ac:dyDescent="0.3">
      <c r="A412" t="s">
        <v>446</v>
      </c>
      <c r="B412" t="s">
        <v>72</v>
      </c>
      <c r="C412" t="s">
        <v>13</v>
      </c>
      <c r="D412">
        <v>5</v>
      </c>
      <c r="E412">
        <v>2261.5100000000002</v>
      </c>
      <c r="F412" t="s">
        <v>26</v>
      </c>
      <c r="G412" s="1">
        <v>46056</v>
      </c>
      <c r="H412">
        <f t="shared" si="12"/>
        <v>11307.550000000001</v>
      </c>
      <c r="I412" t="str">
        <f t="shared" si="13"/>
        <v>February</v>
      </c>
    </row>
    <row r="413" spans="1:9" x14ac:dyDescent="0.3">
      <c r="A413" t="s">
        <v>447</v>
      </c>
      <c r="B413" t="s">
        <v>28</v>
      </c>
      <c r="C413" t="s">
        <v>9</v>
      </c>
      <c r="D413">
        <v>5</v>
      </c>
      <c r="E413">
        <v>5409.63</v>
      </c>
      <c r="F413" t="s">
        <v>46</v>
      </c>
      <c r="G413" s="1">
        <v>46054</v>
      </c>
      <c r="H413">
        <f t="shared" si="12"/>
        <v>27048.15</v>
      </c>
      <c r="I413" t="str">
        <f t="shared" si="13"/>
        <v>February</v>
      </c>
    </row>
    <row r="414" spans="1:9" x14ac:dyDescent="0.3">
      <c r="A414" t="s">
        <v>448</v>
      </c>
      <c r="B414" t="s">
        <v>80</v>
      </c>
      <c r="C414" t="s">
        <v>39</v>
      </c>
      <c r="D414">
        <v>2</v>
      </c>
      <c r="E414">
        <v>4035.46</v>
      </c>
      <c r="F414" t="s">
        <v>26</v>
      </c>
      <c r="G414" s="1">
        <v>46105</v>
      </c>
      <c r="H414">
        <f t="shared" si="12"/>
        <v>8070.92</v>
      </c>
      <c r="I414" t="str">
        <f t="shared" si="13"/>
        <v>March</v>
      </c>
    </row>
    <row r="415" spans="1:9" x14ac:dyDescent="0.3">
      <c r="A415" t="s">
        <v>449</v>
      </c>
      <c r="B415" t="s">
        <v>21</v>
      </c>
      <c r="C415" t="s">
        <v>13</v>
      </c>
      <c r="D415">
        <v>2</v>
      </c>
      <c r="E415">
        <v>27137.73</v>
      </c>
      <c r="F415" t="s">
        <v>14</v>
      </c>
      <c r="G415" s="1">
        <v>46095</v>
      </c>
      <c r="H415">
        <f t="shared" si="12"/>
        <v>54275.46</v>
      </c>
      <c r="I415" t="str">
        <f t="shared" si="13"/>
        <v>March</v>
      </c>
    </row>
    <row r="416" spans="1:9" x14ac:dyDescent="0.3">
      <c r="A416" t="s">
        <v>450</v>
      </c>
      <c r="B416" t="s">
        <v>38</v>
      </c>
      <c r="C416" t="s">
        <v>39</v>
      </c>
      <c r="D416">
        <v>1</v>
      </c>
      <c r="E416">
        <v>6175.79</v>
      </c>
      <c r="F416" t="s">
        <v>14</v>
      </c>
      <c r="G416" s="1">
        <v>46093</v>
      </c>
      <c r="H416">
        <f t="shared" si="12"/>
        <v>6175.79</v>
      </c>
      <c r="I416" t="str">
        <f t="shared" si="13"/>
        <v>March</v>
      </c>
    </row>
    <row r="417" spans="1:9" x14ac:dyDescent="0.3">
      <c r="A417" t="s">
        <v>451</v>
      </c>
      <c r="B417" t="s">
        <v>72</v>
      </c>
      <c r="C417" t="s">
        <v>13</v>
      </c>
      <c r="D417">
        <v>3</v>
      </c>
      <c r="E417">
        <v>2250.35</v>
      </c>
      <c r="F417" t="s">
        <v>18</v>
      </c>
      <c r="G417" s="1">
        <v>46151</v>
      </c>
      <c r="H417">
        <f t="shared" si="12"/>
        <v>6751.0499999999993</v>
      </c>
      <c r="I417" t="str">
        <f t="shared" si="13"/>
        <v>May</v>
      </c>
    </row>
    <row r="418" spans="1:9" x14ac:dyDescent="0.3">
      <c r="A418" t="s">
        <v>452</v>
      </c>
      <c r="B418" t="s">
        <v>8</v>
      </c>
      <c r="C418" t="s">
        <v>9</v>
      </c>
      <c r="D418">
        <v>2</v>
      </c>
      <c r="E418">
        <v>1833.05</v>
      </c>
      <c r="F418" t="s">
        <v>50</v>
      </c>
      <c r="G418" s="1">
        <v>46062</v>
      </c>
      <c r="H418">
        <f t="shared" si="12"/>
        <v>3666.1</v>
      </c>
      <c r="I418" t="str">
        <f t="shared" si="13"/>
        <v>February</v>
      </c>
    </row>
    <row r="419" spans="1:9" x14ac:dyDescent="0.3">
      <c r="A419" t="s">
        <v>453</v>
      </c>
      <c r="B419" t="s">
        <v>72</v>
      </c>
      <c r="C419" t="s">
        <v>13</v>
      </c>
      <c r="D419">
        <v>5</v>
      </c>
      <c r="E419">
        <v>2297.08</v>
      </c>
      <c r="F419" t="s">
        <v>50</v>
      </c>
      <c r="G419" s="1">
        <v>46109</v>
      </c>
      <c r="H419">
        <f t="shared" si="12"/>
        <v>11485.4</v>
      </c>
      <c r="I419" t="str">
        <f t="shared" si="13"/>
        <v>March</v>
      </c>
    </row>
    <row r="420" spans="1:9" x14ac:dyDescent="0.3">
      <c r="A420" t="s">
        <v>454</v>
      </c>
      <c r="B420" t="s">
        <v>38</v>
      </c>
      <c r="C420" t="s">
        <v>39</v>
      </c>
      <c r="D420">
        <v>5</v>
      </c>
      <c r="E420">
        <v>5903.55</v>
      </c>
      <c r="F420" t="s">
        <v>46</v>
      </c>
      <c r="G420" s="1">
        <v>46043</v>
      </c>
      <c r="H420">
        <f t="shared" si="12"/>
        <v>29517.75</v>
      </c>
      <c r="I420" t="str">
        <f t="shared" si="13"/>
        <v>January</v>
      </c>
    </row>
    <row r="421" spans="1:9" x14ac:dyDescent="0.3">
      <c r="A421" t="s">
        <v>455</v>
      </c>
      <c r="B421" t="s">
        <v>91</v>
      </c>
      <c r="C421" t="s">
        <v>13</v>
      </c>
      <c r="D421">
        <v>5</v>
      </c>
      <c r="E421">
        <v>52411.21</v>
      </c>
      <c r="F421" t="s">
        <v>29</v>
      </c>
      <c r="G421" s="1">
        <v>46169</v>
      </c>
      <c r="H421">
        <f t="shared" si="12"/>
        <v>262056.05</v>
      </c>
      <c r="I421" t="str">
        <f t="shared" si="13"/>
        <v>May</v>
      </c>
    </row>
    <row r="422" spans="1:9" x14ac:dyDescent="0.3">
      <c r="A422" t="s">
        <v>456</v>
      </c>
      <c r="B422" t="s">
        <v>28</v>
      </c>
      <c r="C422" t="s">
        <v>9</v>
      </c>
      <c r="D422">
        <v>5</v>
      </c>
      <c r="E422">
        <v>5137.96</v>
      </c>
      <c r="F422" t="s">
        <v>22</v>
      </c>
      <c r="G422" s="1">
        <v>46183</v>
      </c>
      <c r="H422">
        <f t="shared" si="12"/>
        <v>25689.8</v>
      </c>
      <c r="I422" t="str">
        <f t="shared" si="13"/>
        <v>June</v>
      </c>
    </row>
    <row r="423" spans="1:9" x14ac:dyDescent="0.3">
      <c r="A423" t="s">
        <v>457</v>
      </c>
      <c r="B423" t="s">
        <v>80</v>
      </c>
      <c r="C423" t="s">
        <v>39</v>
      </c>
      <c r="D423">
        <v>3</v>
      </c>
      <c r="E423">
        <v>4319.2</v>
      </c>
      <c r="F423" t="s">
        <v>10</v>
      </c>
      <c r="G423" s="1">
        <v>46146</v>
      </c>
      <c r="H423">
        <f t="shared" si="12"/>
        <v>12957.599999999999</v>
      </c>
      <c r="I423" t="str">
        <f t="shared" si="13"/>
        <v>May</v>
      </c>
    </row>
    <row r="424" spans="1:9" x14ac:dyDescent="0.3">
      <c r="A424" t="s">
        <v>458</v>
      </c>
      <c r="B424" t="s">
        <v>12</v>
      </c>
      <c r="C424" t="s">
        <v>13</v>
      </c>
      <c r="D424">
        <v>4</v>
      </c>
      <c r="E424">
        <v>1439.23</v>
      </c>
      <c r="F424" t="s">
        <v>18</v>
      </c>
      <c r="G424" s="1">
        <v>46199</v>
      </c>
      <c r="H424">
        <f t="shared" si="12"/>
        <v>5756.92</v>
      </c>
      <c r="I424" t="str">
        <f t="shared" si="13"/>
        <v>June</v>
      </c>
    </row>
    <row r="425" spans="1:9" x14ac:dyDescent="0.3">
      <c r="A425" t="s">
        <v>459</v>
      </c>
      <c r="B425" t="s">
        <v>91</v>
      </c>
      <c r="C425" t="s">
        <v>13</v>
      </c>
      <c r="D425">
        <v>2</v>
      </c>
      <c r="E425">
        <v>54335.66</v>
      </c>
      <c r="F425" t="s">
        <v>22</v>
      </c>
      <c r="G425" s="1">
        <v>46141</v>
      </c>
      <c r="H425">
        <f t="shared" si="12"/>
        <v>108671.32</v>
      </c>
      <c r="I425" t="str">
        <f t="shared" si="13"/>
        <v>April</v>
      </c>
    </row>
    <row r="426" spans="1:9" x14ac:dyDescent="0.3">
      <c r="A426" t="s">
        <v>460</v>
      </c>
      <c r="B426" t="s">
        <v>12</v>
      </c>
      <c r="C426" t="s">
        <v>13</v>
      </c>
      <c r="D426">
        <v>3</v>
      </c>
      <c r="E426">
        <v>1532</v>
      </c>
      <c r="F426" t="s">
        <v>32</v>
      </c>
      <c r="G426" s="1">
        <v>46104</v>
      </c>
      <c r="H426">
        <f t="shared" si="12"/>
        <v>4596</v>
      </c>
      <c r="I426" t="str">
        <f t="shared" si="13"/>
        <v>March</v>
      </c>
    </row>
    <row r="427" spans="1:9" x14ac:dyDescent="0.3">
      <c r="A427" t="s">
        <v>461</v>
      </c>
      <c r="B427" t="s">
        <v>21</v>
      </c>
      <c r="C427" t="s">
        <v>13</v>
      </c>
      <c r="D427">
        <v>3</v>
      </c>
      <c r="E427">
        <v>30662.1</v>
      </c>
      <c r="F427" t="s">
        <v>26</v>
      </c>
      <c r="G427" s="1">
        <v>46117</v>
      </c>
      <c r="H427">
        <f t="shared" si="12"/>
        <v>91986.299999999988</v>
      </c>
      <c r="I427" t="str">
        <f t="shared" si="13"/>
        <v>April</v>
      </c>
    </row>
    <row r="428" spans="1:9" x14ac:dyDescent="0.3">
      <c r="A428" t="s">
        <v>462</v>
      </c>
      <c r="B428" t="s">
        <v>80</v>
      </c>
      <c r="C428" t="s">
        <v>39</v>
      </c>
      <c r="D428">
        <v>5</v>
      </c>
      <c r="E428">
        <v>3869.19</v>
      </c>
      <c r="F428" t="s">
        <v>29</v>
      </c>
      <c r="G428" s="1">
        <v>46142</v>
      </c>
      <c r="H428">
        <f t="shared" si="12"/>
        <v>19345.95</v>
      </c>
      <c r="I428" t="str">
        <f t="shared" si="13"/>
        <v>April</v>
      </c>
    </row>
    <row r="429" spans="1:9" x14ac:dyDescent="0.3">
      <c r="A429" t="s">
        <v>463</v>
      </c>
      <c r="B429" t="s">
        <v>31</v>
      </c>
      <c r="C429" t="s">
        <v>13</v>
      </c>
      <c r="D429">
        <v>3</v>
      </c>
      <c r="E429">
        <v>17818.55</v>
      </c>
      <c r="F429" t="s">
        <v>26</v>
      </c>
      <c r="G429" s="1">
        <v>46047</v>
      </c>
      <c r="H429">
        <f t="shared" si="12"/>
        <v>53455.649999999994</v>
      </c>
      <c r="I429" t="str">
        <f t="shared" si="13"/>
        <v>January</v>
      </c>
    </row>
    <row r="430" spans="1:9" x14ac:dyDescent="0.3">
      <c r="A430" t="s">
        <v>464</v>
      </c>
      <c r="B430" t="s">
        <v>91</v>
      </c>
      <c r="C430" t="s">
        <v>13</v>
      </c>
      <c r="D430">
        <v>3</v>
      </c>
      <c r="E430">
        <v>59899.23</v>
      </c>
      <c r="F430" t="s">
        <v>50</v>
      </c>
      <c r="G430" s="1">
        <v>46130</v>
      </c>
      <c r="H430">
        <f t="shared" si="12"/>
        <v>179697.69</v>
      </c>
      <c r="I430" t="str">
        <f t="shared" si="13"/>
        <v>April</v>
      </c>
    </row>
    <row r="431" spans="1:9" x14ac:dyDescent="0.3">
      <c r="A431" t="s">
        <v>465</v>
      </c>
      <c r="B431" t="s">
        <v>12</v>
      </c>
      <c r="C431" t="s">
        <v>13</v>
      </c>
      <c r="D431">
        <v>2</v>
      </c>
      <c r="E431">
        <v>1594.04</v>
      </c>
      <c r="F431" t="s">
        <v>50</v>
      </c>
      <c r="G431" s="1">
        <v>46103</v>
      </c>
      <c r="H431">
        <f t="shared" si="12"/>
        <v>3188.08</v>
      </c>
      <c r="I431" t="str">
        <f t="shared" si="13"/>
        <v>March</v>
      </c>
    </row>
    <row r="432" spans="1:9" x14ac:dyDescent="0.3">
      <c r="A432" t="s">
        <v>466</v>
      </c>
      <c r="B432" t="s">
        <v>12</v>
      </c>
      <c r="C432" t="s">
        <v>13</v>
      </c>
      <c r="D432">
        <v>2</v>
      </c>
      <c r="E432">
        <v>1499.48</v>
      </c>
      <c r="F432" t="s">
        <v>14</v>
      </c>
      <c r="G432" s="1">
        <v>46142</v>
      </c>
      <c r="H432">
        <f t="shared" si="12"/>
        <v>2998.96</v>
      </c>
      <c r="I432" t="str">
        <f t="shared" si="13"/>
        <v>April</v>
      </c>
    </row>
    <row r="433" spans="1:9" x14ac:dyDescent="0.3">
      <c r="A433" t="s">
        <v>467</v>
      </c>
      <c r="B433" t="s">
        <v>44</v>
      </c>
      <c r="C433" t="s">
        <v>39</v>
      </c>
      <c r="D433">
        <v>3</v>
      </c>
      <c r="E433">
        <v>3498.16</v>
      </c>
      <c r="F433" t="s">
        <v>18</v>
      </c>
      <c r="G433" s="1">
        <v>46123</v>
      </c>
      <c r="H433">
        <f t="shared" si="12"/>
        <v>10494.48</v>
      </c>
      <c r="I433" t="str">
        <f t="shared" si="13"/>
        <v>April</v>
      </c>
    </row>
    <row r="434" spans="1:9" x14ac:dyDescent="0.3">
      <c r="A434" t="s">
        <v>468</v>
      </c>
      <c r="B434" t="s">
        <v>80</v>
      </c>
      <c r="C434" t="s">
        <v>39</v>
      </c>
      <c r="D434">
        <v>4</v>
      </c>
      <c r="E434">
        <v>4592.0200000000004</v>
      </c>
      <c r="F434" t="s">
        <v>29</v>
      </c>
      <c r="G434" s="1">
        <v>46172</v>
      </c>
      <c r="H434">
        <f t="shared" si="12"/>
        <v>18368.080000000002</v>
      </c>
      <c r="I434" t="str">
        <f t="shared" si="13"/>
        <v>May</v>
      </c>
    </row>
    <row r="435" spans="1:9" x14ac:dyDescent="0.3">
      <c r="A435" t="s">
        <v>469</v>
      </c>
      <c r="B435" t="s">
        <v>55</v>
      </c>
      <c r="C435" t="s">
        <v>25</v>
      </c>
      <c r="D435">
        <v>1</v>
      </c>
      <c r="E435">
        <v>2274.36</v>
      </c>
      <c r="F435" t="s">
        <v>22</v>
      </c>
      <c r="G435" s="1">
        <v>46175</v>
      </c>
      <c r="H435">
        <f t="shared" si="12"/>
        <v>2274.36</v>
      </c>
      <c r="I435" t="str">
        <f t="shared" si="13"/>
        <v>June</v>
      </c>
    </row>
    <row r="436" spans="1:9" x14ac:dyDescent="0.3">
      <c r="A436" t="s">
        <v>470</v>
      </c>
      <c r="B436" t="s">
        <v>38</v>
      </c>
      <c r="C436" t="s">
        <v>39</v>
      </c>
      <c r="D436">
        <v>4</v>
      </c>
      <c r="E436">
        <v>6221.47</v>
      </c>
      <c r="F436" t="s">
        <v>46</v>
      </c>
      <c r="G436" s="1">
        <v>46050</v>
      </c>
      <c r="H436">
        <f t="shared" si="12"/>
        <v>24885.88</v>
      </c>
      <c r="I436" t="str">
        <f t="shared" si="13"/>
        <v>January</v>
      </c>
    </row>
    <row r="437" spans="1:9" x14ac:dyDescent="0.3">
      <c r="A437" t="s">
        <v>471</v>
      </c>
      <c r="B437" t="s">
        <v>28</v>
      </c>
      <c r="C437" t="s">
        <v>9</v>
      </c>
      <c r="D437">
        <v>2</v>
      </c>
      <c r="E437">
        <v>5381.38</v>
      </c>
      <c r="F437" t="s">
        <v>32</v>
      </c>
      <c r="G437" s="1">
        <v>46126</v>
      </c>
      <c r="H437">
        <f t="shared" si="12"/>
        <v>10762.76</v>
      </c>
      <c r="I437" t="str">
        <f t="shared" si="13"/>
        <v>April</v>
      </c>
    </row>
    <row r="438" spans="1:9" x14ac:dyDescent="0.3">
      <c r="A438" t="s">
        <v>472</v>
      </c>
      <c r="B438" t="s">
        <v>55</v>
      </c>
      <c r="C438" t="s">
        <v>25</v>
      </c>
      <c r="D438">
        <v>1</v>
      </c>
      <c r="E438">
        <v>2449.31</v>
      </c>
      <c r="F438" t="s">
        <v>50</v>
      </c>
      <c r="G438" s="1">
        <v>46166</v>
      </c>
      <c r="H438">
        <f t="shared" si="12"/>
        <v>2449.31</v>
      </c>
      <c r="I438" t="str">
        <f t="shared" si="13"/>
        <v>May</v>
      </c>
    </row>
    <row r="439" spans="1:9" x14ac:dyDescent="0.3">
      <c r="A439" t="s">
        <v>473</v>
      </c>
      <c r="B439" t="s">
        <v>12</v>
      </c>
      <c r="C439" t="s">
        <v>13</v>
      </c>
      <c r="D439">
        <v>3</v>
      </c>
      <c r="E439">
        <v>1515.97</v>
      </c>
      <c r="F439" t="s">
        <v>18</v>
      </c>
      <c r="G439" s="1">
        <v>46121</v>
      </c>
      <c r="H439">
        <f t="shared" si="12"/>
        <v>4547.91</v>
      </c>
      <c r="I439" t="str">
        <f t="shared" si="13"/>
        <v>April</v>
      </c>
    </row>
    <row r="440" spans="1:9" x14ac:dyDescent="0.3">
      <c r="A440" t="s">
        <v>474</v>
      </c>
      <c r="B440" t="s">
        <v>80</v>
      </c>
      <c r="C440" t="s">
        <v>39</v>
      </c>
      <c r="D440">
        <v>4</v>
      </c>
      <c r="E440">
        <v>4422.1000000000004</v>
      </c>
      <c r="F440" t="s">
        <v>10</v>
      </c>
      <c r="G440" s="1">
        <v>46182</v>
      </c>
      <c r="H440">
        <f t="shared" si="12"/>
        <v>17688.400000000001</v>
      </c>
      <c r="I440" t="str">
        <f t="shared" si="13"/>
        <v>June</v>
      </c>
    </row>
    <row r="441" spans="1:9" x14ac:dyDescent="0.3">
      <c r="A441" t="s">
        <v>475</v>
      </c>
      <c r="B441" t="s">
        <v>8</v>
      </c>
      <c r="C441" t="s">
        <v>9</v>
      </c>
      <c r="D441">
        <v>5</v>
      </c>
      <c r="E441">
        <v>1662.77</v>
      </c>
      <c r="F441" t="s">
        <v>18</v>
      </c>
      <c r="G441" s="1">
        <v>46123</v>
      </c>
      <c r="H441">
        <f t="shared" si="12"/>
        <v>8313.85</v>
      </c>
      <c r="I441" t="str">
        <f t="shared" si="13"/>
        <v>April</v>
      </c>
    </row>
    <row r="442" spans="1:9" x14ac:dyDescent="0.3">
      <c r="A442" t="s">
        <v>476</v>
      </c>
      <c r="B442" t="s">
        <v>55</v>
      </c>
      <c r="C442" t="s">
        <v>25</v>
      </c>
      <c r="D442">
        <v>3</v>
      </c>
      <c r="E442">
        <v>2527.9</v>
      </c>
      <c r="F442" t="s">
        <v>32</v>
      </c>
      <c r="G442" s="1">
        <v>46059</v>
      </c>
      <c r="H442">
        <f t="shared" si="12"/>
        <v>7583.7000000000007</v>
      </c>
      <c r="I442" t="str">
        <f t="shared" si="13"/>
        <v>February</v>
      </c>
    </row>
    <row r="443" spans="1:9" x14ac:dyDescent="0.3">
      <c r="A443" t="s">
        <v>477</v>
      </c>
      <c r="B443" t="s">
        <v>12</v>
      </c>
      <c r="C443" t="s">
        <v>13</v>
      </c>
      <c r="D443">
        <v>5</v>
      </c>
      <c r="E443">
        <v>1502.74</v>
      </c>
      <c r="F443" t="s">
        <v>14</v>
      </c>
      <c r="G443" s="1">
        <v>46033</v>
      </c>
      <c r="H443">
        <f t="shared" si="12"/>
        <v>7513.7</v>
      </c>
      <c r="I443" t="str">
        <f t="shared" si="13"/>
        <v>January</v>
      </c>
    </row>
    <row r="444" spans="1:9" x14ac:dyDescent="0.3">
      <c r="A444" t="s">
        <v>478</v>
      </c>
      <c r="B444" t="s">
        <v>91</v>
      </c>
      <c r="C444" t="s">
        <v>13</v>
      </c>
      <c r="D444">
        <v>1</v>
      </c>
      <c r="E444">
        <v>51007.4</v>
      </c>
      <c r="F444" t="s">
        <v>32</v>
      </c>
      <c r="G444" s="1">
        <v>46144</v>
      </c>
      <c r="H444">
        <f t="shared" si="12"/>
        <v>51007.4</v>
      </c>
      <c r="I444" t="str">
        <f t="shared" si="13"/>
        <v>May</v>
      </c>
    </row>
    <row r="445" spans="1:9" x14ac:dyDescent="0.3">
      <c r="A445" t="s">
        <v>479</v>
      </c>
      <c r="B445" t="s">
        <v>80</v>
      </c>
      <c r="C445" t="s">
        <v>39</v>
      </c>
      <c r="D445">
        <v>4</v>
      </c>
      <c r="E445">
        <v>3905.11</v>
      </c>
      <c r="F445" t="s">
        <v>14</v>
      </c>
      <c r="G445" s="1">
        <v>46058</v>
      </c>
      <c r="H445">
        <f t="shared" si="12"/>
        <v>15620.44</v>
      </c>
      <c r="I445" t="str">
        <f t="shared" si="13"/>
        <v>February</v>
      </c>
    </row>
    <row r="446" spans="1:9" x14ac:dyDescent="0.3">
      <c r="A446" t="s">
        <v>480</v>
      </c>
      <c r="B446" t="s">
        <v>55</v>
      </c>
      <c r="C446" t="s">
        <v>25</v>
      </c>
      <c r="D446">
        <v>5</v>
      </c>
      <c r="E446">
        <v>2408.3000000000002</v>
      </c>
      <c r="F446" t="s">
        <v>48</v>
      </c>
      <c r="G446" s="1">
        <v>46180</v>
      </c>
      <c r="H446">
        <f t="shared" si="12"/>
        <v>12041.5</v>
      </c>
      <c r="I446" t="str">
        <f t="shared" si="13"/>
        <v>June</v>
      </c>
    </row>
    <row r="447" spans="1:9" x14ac:dyDescent="0.3">
      <c r="A447" t="s">
        <v>481</v>
      </c>
      <c r="B447" t="s">
        <v>21</v>
      </c>
      <c r="C447" t="s">
        <v>13</v>
      </c>
      <c r="D447">
        <v>3</v>
      </c>
      <c r="E447">
        <v>28524.86</v>
      </c>
      <c r="F447" t="s">
        <v>14</v>
      </c>
      <c r="G447" s="1">
        <v>46153</v>
      </c>
      <c r="H447">
        <f t="shared" si="12"/>
        <v>85574.58</v>
      </c>
      <c r="I447" t="str">
        <f t="shared" si="13"/>
        <v>May</v>
      </c>
    </row>
    <row r="448" spans="1:9" x14ac:dyDescent="0.3">
      <c r="A448" t="s">
        <v>482</v>
      </c>
      <c r="B448" t="s">
        <v>80</v>
      </c>
      <c r="C448" t="s">
        <v>39</v>
      </c>
      <c r="D448">
        <v>4</v>
      </c>
      <c r="E448">
        <v>4375.34</v>
      </c>
      <c r="F448" t="s">
        <v>10</v>
      </c>
      <c r="G448" s="1">
        <v>46144</v>
      </c>
      <c r="H448">
        <f t="shared" si="12"/>
        <v>17501.36</v>
      </c>
      <c r="I448" t="str">
        <f t="shared" si="13"/>
        <v>May</v>
      </c>
    </row>
    <row r="449" spans="1:9" x14ac:dyDescent="0.3">
      <c r="A449" t="s">
        <v>483</v>
      </c>
      <c r="B449" t="s">
        <v>38</v>
      </c>
      <c r="C449" t="s">
        <v>39</v>
      </c>
      <c r="D449">
        <v>1</v>
      </c>
      <c r="E449">
        <v>6328.87</v>
      </c>
      <c r="F449" t="s">
        <v>18</v>
      </c>
      <c r="G449" s="1">
        <v>46129</v>
      </c>
      <c r="H449">
        <f t="shared" si="12"/>
        <v>6328.87</v>
      </c>
      <c r="I449" t="str">
        <f t="shared" si="13"/>
        <v>April</v>
      </c>
    </row>
    <row r="450" spans="1:9" x14ac:dyDescent="0.3">
      <c r="A450" t="s">
        <v>484</v>
      </c>
      <c r="B450" t="s">
        <v>16</v>
      </c>
      <c r="C450" t="s">
        <v>17</v>
      </c>
      <c r="D450">
        <v>3</v>
      </c>
      <c r="E450">
        <v>476.71</v>
      </c>
      <c r="F450" t="s">
        <v>46</v>
      </c>
      <c r="G450" s="1">
        <v>46175</v>
      </c>
      <c r="H450">
        <f t="shared" si="12"/>
        <v>1430.1299999999999</v>
      </c>
      <c r="I450" t="str">
        <f t="shared" si="13"/>
        <v>June</v>
      </c>
    </row>
    <row r="451" spans="1:9" x14ac:dyDescent="0.3">
      <c r="A451" t="s">
        <v>485</v>
      </c>
      <c r="B451" t="s">
        <v>44</v>
      </c>
      <c r="C451" t="s">
        <v>39</v>
      </c>
      <c r="D451">
        <v>3</v>
      </c>
      <c r="E451">
        <v>3826.95</v>
      </c>
      <c r="F451" t="s">
        <v>50</v>
      </c>
      <c r="G451" s="1">
        <v>46170</v>
      </c>
      <c r="H451">
        <f t="shared" ref="H451:H514" si="14">D451*E451</f>
        <v>11480.849999999999</v>
      </c>
      <c r="I451" t="str">
        <f t="shared" ref="I451:I514" si="15">TEXT(G451, "mmmm")</f>
        <v>May</v>
      </c>
    </row>
    <row r="452" spans="1:9" x14ac:dyDescent="0.3">
      <c r="A452" t="s">
        <v>486</v>
      </c>
      <c r="B452" t="s">
        <v>12</v>
      </c>
      <c r="C452" t="s">
        <v>13</v>
      </c>
      <c r="D452">
        <v>1</v>
      </c>
      <c r="E452">
        <v>1525.06</v>
      </c>
      <c r="F452" t="s">
        <v>26</v>
      </c>
      <c r="G452" s="1">
        <v>46157</v>
      </c>
      <c r="H452">
        <f t="shared" si="14"/>
        <v>1525.06</v>
      </c>
      <c r="I452" t="str">
        <f t="shared" si="15"/>
        <v>May</v>
      </c>
    </row>
    <row r="453" spans="1:9" x14ac:dyDescent="0.3">
      <c r="A453" t="s">
        <v>487</v>
      </c>
      <c r="B453" t="s">
        <v>8</v>
      </c>
      <c r="C453" t="s">
        <v>9</v>
      </c>
      <c r="D453">
        <v>5</v>
      </c>
      <c r="E453">
        <v>1898.86</v>
      </c>
      <c r="F453" t="s">
        <v>48</v>
      </c>
      <c r="G453" s="1">
        <v>46060</v>
      </c>
      <c r="H453">
        <f t="shared" si="14"/>
        <v>9494.2999999999993</v>
      </c>
      <c r="I453" t="str">
        <f t="shared" si="15"/>
        <v>February</v>
      </c>
    </row>
    <row r="454" spans="1:9" x14ac:dyDescent="0.3">
      <c r="A454" t="s">
        <v>488</v>
      </c>
      <c r="B454" t="s">
        <v>38</v>
      </c>
      <c r="C454" t="s">
        <v>39</v>
      </c>
      <c r="D454">
        <v>2</v>
      </c>
      <c r="E454">
        <v>5891.04</v>
      </c>
      <c r="F454" t="s">
        <v>18</v>
      </c>
      <c r="G454" s="1">
        <v>46071</v>
      </c>
      <c r="H454">
        <f t="shared" si="14"/>
        <v>11782.08</v>
      </c>
      <c r="I454" t="str">
        <f t="shared" si="15"/>
        <v>February</v>
      </c>
    </row>
    <row r="455" spans="1:9" x14ac:dyDescent="0.3">
      <c r="A455" t="s">
        <v>489</v>
      </c>
      <c r="B455" t="s">
        <v>91</v>
      </c>
      <c r="C455" t="s">
        <v>13</v>
      </c>
      <c r="D455">
        <v>4</v>
      </c>
      <c r="E455">
        <v>52950.62</v>
      </c>
      <c r="F455" t="s">
        <v>26</v>
      </c>
      <c r="G455" s="1">
        <v>46128</v>
      </c>
      <c r="H455">
        <f t="shared" si="14"/>
        <v>211802.48</v>
      </c>
      <c r="I455" t="str">
        <f t="shared" si="15"/>
        <v>April</v>
      </c>
    </row>
    <row r="456" spans="1:9" x14ac:dyDescent="0.3">
      <c r="A456" t="s">
        <v>490</v>
      </c>
      <c r="B456" t="s">
        <v>21</v>
      </c>
      <c r="C456" t="s">
        <v>13</v>
      </c>
      <c r="D456">
        <v>2</v>
      </c>
      <c r="E456">
        <v>27498.11</v>
      </c>
      <c r="F456" t="s">
        <v>50</v>
      </c>
      <c r="G456" s="1">
        <v>46143</v>
      </c>
      <c r="H456">
        <f t="shared" si="14"/>
        <v>54996.22</v>
      </c>
      <c r="I456" t="str">
        <f t="shared" si="15"/>
        <v>May</v>
      </c>
    </row>
    <row r="457" spans="1:9" x14ac:dyDescent="0.3">
      <c r="A457" t="s">
        <v>491</v>
      </c>
      <c r="B457" t="s">
        <v>38</v>
      </c>
      <c r="C457" t="s">
        <v>39</v>
      </c>
      <c r="D457">
        <v>1</v>
      </c>
      <c r="E457">
        <v>6767.51</v>
      </c>
      <c r="F457" t="s">
        <v>14</v>
      </c>
      <c r="G457" s="1">
        <v>46076</v>
      </c>
      <c r="H457">
        <f t="shared" si="14"/>
        <v>6767.51</v>
      </c>
      <c r="I457" t="str">
        <f t="shared" si="15"/>
        <v>February</v>
      </c>
    </row>
    <row r="458" spans="1:9" x14ac:dyDescent="0.3">
      <c r="A458" t="s">
        <v>492</v>
      </c>
      <c r="B458" t="s">
        <v>80</v>
      </c>
      <c r="C458" t="s">
        <v>39</v>
      </c>
      <c r="D458">
        <v>3</v>
      </c>
      <c r="E458">
        <v>4618.42</v>
      </c>
      <c r="F458" t="s">
        <v>22</v>
      </c>
      <c r="G458" s="1">
        <v>46157</v>
      </c>
      <c r="H458">
        <f t="shared" si="14"/>
        <v>13855.26</v>
      </c>
      <c r="I458" t="str">
        <f t="shared" si="15"/>
        <v>May</v>
      </c>
    </row>
    <row r="459" spans="1:9" x14ac:dyDescent="0.3">
      <c r="A459" t="s">
        <v>493</v>
      </c>
      <c r="B459" t="s">
        <v>28</v>
      </c>
      <c r="C459" t="s">
        <v>9</v>
      </c>
      <c r="D459">
        <v>3</v>
      </c>
      <c r="E459">
        <v>5455.59</v>
      </c>
      <c r="F459" t="s">
        <v>22</v>
      </c>
      <c r="G459" s="1">
        <v>46159</v>
      </c>
      <c r="H459">
        <f t="shared" si="14"/>
        <v>16366.77</v>
      </c>
      <c r="I459" t="str">
        <f t="shared" si="15"/>
        <v>May</v>
      </c>
    </row>
    <row r="460" spans="1:9" x14ac:dyDescent="0.3">
      <c r="A460" t="s">
        <v>494</v>
      </c>
      <c r="B460" t="s">
        <v>55</v>
      </c>
      <c r="C460" t="s">
        <v>25</v>
      </c>
      <c r="D460">
        <v>5</v>
      </c>
      <c r="E460">
        <v>2426.17</v>
      </c>
      <c r="F460" t="s">
        <v>10</v>
      </c>
      <c r="G460" s="1">
        <v>46179</v>
      </c>
      <c r="H460">
        <f t="shared" si="14"/>
        <v>12130.85</v>
      </c>
      <c r="I460" t="str">
        <f t="shared" si="15"/>
        <v>June</v>
      </c>
    </row>
    <row r="461" spans="1:9" x14ac:dyDescent="0.3">
      <c r="A461" t="s">
        <v>495</v>
      </c>
      <c r="B461" t="s">
        <v>44</v>
      </c>
      <c r="C461" t="s">
        <v>39</v>
      </c>
      <c r="D461">
        <v>2</v>
      </c>
      <c r="E461">
        <v>3820.14</v>
      </c>
      <c r="F461" t="s">
        <v>10</v>
      </c>
      <c r="G461" s="1">
        <v>46165</v>
      </c>
      <c r="H461">
        <f t="shared" si="14"/>
        <v>7640.28</v>
      </c>
      <c r="I461" t="str">
        <f t="shared" si="15"/>
        <v>May</v>
      </c>
    </row>
    <row r="462" spans="1:9" x14ac:dyDescent="0.3">
      <c r="A462" t="s">
        <v>496</v>
      </c>
      <c r="B462" t="s">
        <v>24</v>
      </c>
      <c r="C462" t="s">
        <v>25</v>
      </c>
      <c r="D462">
        <v>2</v>
      </c>
      <c r="E462">
        <v>869.55</v>
      </c>
      <c r="F462" t="s">
        <v>10</v>
      </c>
      <c r="G462" s="1">
        <v>46096</v>
      </c>
      <c r="H462">
        <f t="shared" si="14"/>
        <v>1739.1</v>
      </c>
      <c r="I462" t="str">
        <f t="shared" si="15"/>
        <v>March</v>
      </c>
    </row>
    <row r="463" spans="1:9" x14ac:dyDescent="0.3">
      <c r="A463" t="s">
        <v>497</v>
      </c>
      <c r="B463" t="s">
        <v>21</v>
      </c>
      <c r="C463" t="s">
        <v>13</v>
      </c>
      <c r="D463">
        <v>2</v>
      </c>
      <c r="E463">
        <v>29065.34</v>
      </c>
      <c r="F463" t="s">
        <v>22</v>
      </c>
      <c r="G463" s="1">
        <v>46104</v>
      </c>
      <c r="H463">
        <f t="shared" si="14"/>
        <v>58130.68</v>
      </c>
      <c r="I463" t="str">
        <f t="shared" si="15"/>
        <v>March</v>
      </c>
    </row>
    <row r="464" spans="1:9" x14ac:dyDescent="0.3">
      <c r="A464" t="s">
        <v>498</v>
      </c>
      <c r="B464" t="s">
        <v>44</v>
      </c>
      <c r="C464" t="s">
        <v>39</v>
      </c>
      <c r="D464">
        <v>3</v>
      </c>
      <c r="E464">
        <v>3542.34</v>
      </c>
      <c r="F464" t="s">
        <v>10</v>
      </c>
      <c r="G464" s="1">
        <v>46096</v>
      </c>
      <c r="H464">
        <f t="shared" si="14"/>
        <v>10627.02</v>
      </c>
      <c r="I464" t="str">
        <f t="shared" si="15"/>
        <v>March</v>
      </c>
    </row>
    <row r="465" spans="1:9" x14ac:dyDescent="0.3">
      <c r="A465" t="s">
        <v>499</v>
      </c>
      <c r="B465" t="s">
        <v>31</v>
      </c>
      <c r="C465" t="s">
        <v>13</v>
      </c>
      <c r="D465">
        <v>5</v>
      </c>
      <c r="E465">
        <v>18635.84</v>
      </c>
      <c r="F465" t="s">
        <v>48</v>
      </c>
      <c r="G465" s="1">
        <v>46124</v>
      </c>
      <c r="H465">
        <f t="shared" si="14"/>
        <v>93179.199999999997</v>
      </c>
      <c r="I465" t="str">
        <f t="shared" si="15"/>
        <v>April</v>
      </c>
    </row>
    <row r="466" spans="1:9" x14ac:dyDescent="0.3">
      <c r="A466" t="s">
        <v>500</v>
      </c>
      <c r="B466" t="s">
        <v>38</v>
      </c>
      <c r="C466" t="s">
        <v>39</v>
      </c>
      <c r="D466">
        <v>3</v>
      </c>
      <c r="E466">
        <v>7090.99</v>
      </c>
      <c r="F466" t="s">
        <v>26</v>
      </c>
      <c r="G466" s="1">
        <v>46097</v>
      </c>
      <c r="H466">
        <f t="shared" si="14"/>
        <v>21272.97</v>
      </c>
      <c r="I466" t="str">
        <f t="shared" si="15"/>
        <v>March</v>
      </c>
    </row>
    <row r="467" spans="1:9" x14ac:dyDescent="0.3">
      <c r="A467" t="s">
        <v>501</v>
      </c>
      <c r="B467" t="s">
        <v>91</v>
      </c>
      <c r="C467" t="s">
        <v>13</v>
      </c>
      <c r="D467">
        <v>3</v>
      </c>
      <c r="E467">
        <v>60008.45</v>
      </c>
      <c r="F467" t="s">
        <v>18</v>
      </c>
      <c r="G467" s="1">
        <v>46111</v>
      </c>
      <c r="H467">
        <f t="shared" si="14"/>
        <v>180025.34999999998</v>
      </c>
      <c r="I467" t="str">
        <f t="shared" si="15"/>
        <v>March</v>
      </c>
    </row>
    <row r="468" spans="1:9" x14ac:dyDescent="0.3">
      <c r="A468" t="s">
        <v>502</v>
      </c>
      <c r="B468" t="s">
        <v>44</v>
      </c>
      <c r="C468" t="s">
        <v>39</v>
      </c>
      <c r="D468">
        <v>3</v>
      </c>
      <c r="E468">
        <v>3673.14</v>
      </c>
      <c r="F468" t="s">
        <v>29</v>
      </c>
      <c r="G468" s="1">
        <v>46074</v>
      </c>
      <c r="H468">
        <f t="shared" si="14"/>
        <v>11019.42</v>
      </c>
      <c r="I468" t="str">
        <f t="shared" si="15"/>
        <v>February</v>
      </c>
    </row>
    <row r="469" spans="1:9" x14ac:dyDescent="0.3">
      <c r="A469" t="s">
        <v>503</v>
      </c>
      <c r="B469" t="s">
        <v>38</v>
      </c>
      <c r="C469" t="s">
        <v>39</v>
      </c>
      <c r="D469">
        <v>5</v>
      </c>
      <c r="E469">
        <v>6202.47</v>
      </c>
      <c r="F469" t="s">
        <v>14</v>
      </c>
      <c r="G469" s="1">
        <v>46201</v>
      </c>
      <c r="H469">
        <f t="shared" si="14"/>
        <v>31012.350000000002</v>
      </c>
      <c r="I469" t="str">
        <f t="shared" si="15"/>
        <v>June</v>
      </c>
    </row>
    <row r="470" spans="1:9" x14ac:dyDescent="0.3">
      <c r="A470" t="s">
        <v>504</v>
      </c>
      <c r="B470" t="s">
        <v>24</v>
      </c>
      <c r="C470" t="s">
        <v>25</v>
      </c>
      <c r="D470">
        <v>2</v>
      </c>
      <c r="E470">
        <v>736.55</v>
      </c>
      <c r="F470" t="s">
        <v>50</v>
      </c>
      <c r="G470" s="1">
        <v>46084</v>
      </c>
      <c r="H470">
        <f t="shared" si="14"/>
        <v>1473.1</v>
      </c>
      <c r="I470" t="str">
        <f t="shared" si="15"/>
        <v>March</v>
      </c>
    </row>
    <row r="471" spans="1:9" x14ac:dyDescent="0.3">
      <c r="A471" t="s">
        <v>505</v>
      </c>
      <c r="B471" t="s">
        <v>12</v>
      </c>
      <c r="C471" t="s">
        <v>13</v>
      </c>
      <c r="D471">
        <v>1</v>
      </c>
      <c r="E471">
        <v>1550.95</v>
      </c>
      <c r="F471" t="s">
        <v>14</v>
      </c>
      <c r="G471" s="1">
        <v>46080</v>
      </c>
      <c r="H471">
        <f t="shared" si="14"/>
        <v>1550.95</v>
      </c>
      <c r="I471" t="str">
        <f t="shared" si="15"/>
        <v>February</v>
      </c>
    </row>
    <row r="472" spans="1:9" x14ac:dyDescent="0.3">
      <c r="A472" t="s">
        <v>506</v>
      </c>
      <c r="B472" t="s">
        <v>8</v>
      </c>
      <c r="C472" t="s">
        <v>9</v>
      </c>
      <c r="D472">
        <v>2</v>
      </c>
      <c r="E472">
        <v>1638.9</v>
      </c>
      <c r="F472" t="s">
        <v>48</v>
      </c>
      <c r="G472" s="1">
        <v>46107</v>
      </c>
      <c r="H472">
        <f t="shared" si="14"/>
        <v>3277.8</v>
      </c>
      <c r="I472" t="str">
        <f t="shared" si="15"/>
        <v>March</v>
      </c>
    </row>
    <row r="473" spans="1:9" x14ac:dyDescent="0.3">
      <c r="A473" t="s">
        <v>507</v>
      </c>
      <c r="B473" t="s">
        <v>21</v>
      </c>
      <c r="C473" t="s">
        <v>13</v>
      </c>
      <c r="D473">
        <v>4</v>
      </c>
      <c r="E473">
        <v>25763.05</v>
      </c>
      <c r="F473" t="s">
        <v>26</v>
      </c>
      <c r="G473" s="1">
        <v>46024</v>
      </c>
      <c r="H473">
        <f t="shared" si="14"/>
        <v>103052.2</v>
      </c>
      <c r="I473" t="str">
        <f t="shared" si="15"/>
        <v>January</v>
      </c>
    </row>
    <row r="474" spans="1:9" x14ac:dyDescent="0.3">
      <c r="A474" t="s">
        <v>508</v>
      </c>
      <c r="B474" t="s">
        <v>80</v>
      </c>
      <c r="C474" t="s">
        <v>39</v>
      </c>
      <c r="D474">
        <v>2</v>
      </c>
      <c r="E474">
        <v>4121.8</v>
      </c>
      <c r="F474" t="s">
        <v>22</v>
      </c>
      <c r="G474" s="1">
        <v>46145</v>
      </c>
      <c r="H474">
        <f t="shared" si="14"/>
        <v>8243.6</v>
      </c>
      <c r="I474" t="str">
        <f t="shared" si="15"/>
        <v>May</v>
      </c>
    </row>
    <row r="475" spans="1:9" x14ac:dyDescent="0.3">
      <c r="A475" t="s">
        <v>509</v>
      </c>
      <c r="B475" t="s">
        <v>8</v>
      </c>
      <c r="C475" t="s">
        <v>9</v>
      </c>
      <c r="D475">
        <v>2</v>
      </c>
      <c r="E475">
        <v>1892.13</v>
      </c>
      <c r="F475" t="s">
        <v>10</v>
      </c>
      <c r="G475" s="1">
        <v>46105</v>
      </c>
      <c r="H475">
        <f t="shared" si="14"/>
        <v>3784.26</v>
      </c>
      <c r="I475" t="str">
        <f t="shared" si="15"/>
        <v>March</v>
      </c>
    </row>
    <row r="476" spans="1:9" x14ac:dyDescent="0.3">
      <c r="A476" t="s">
        <v>510</v>
      </c>
      <c r="B476" t="s">
        <v>24</v>
      </c>
      <c r="C476" t="s">
        <v>25</v>
      </c>
      <c r="D476">
        <v>1</v>
      </c>
      <c r="E476">
        <v>864.19</v>
      </c>
      <c r="F476" t="s">
        <v>18</v>
      </c>
      <c r="G476" s="1">
        <v>46189</v>
      </c>
      <c r="H476">
        <f t="shared" si="14"/>
        <v>864.19</v>
      </c>
      <c r="I476" t="str">
        <f t="shared" si="15"/>
        <v>June</v>
      </c>
    </row>
    <row r="477" spans="1:9" x14ac:dyDescent="0.3">
      <c r="A477" t="s">
        <v>511</v>
      </c>
      <c r="B477" t="s">
        <v>16</v>
      </c>
      <c r="C477" t="s">
        <v>17</v>
      </c>
      <c r="D477">
        <v>2</v>
      </c>
      <c r="E477">
        <v>453.16</v>
      </c>
      <c r="F477" t="s">
        <v>46</v>
      </c>
      <c r="G477" s="1">
        <v>46067</v>
      </c>
      <c r="H477">
        <f t="shared" si="14"/>
        <v>906.32</v>
      </c>
      <c r="I477" t="str">
        <f t="shared" si="15"/>
        <v>February</v>
      </c>
    </row>
    <row r="478" spans="1:9" x14ac:dyDescent="0.3">
      <c r="A478" t="s">
        <v>512</v>
      </c>
      <c r="B478" t="s">
        <v>28</v>
      </c>
      <c r="C478" t="s">
        <v>9</v>
      </c>
      <c r="D478">
        <v>2</v>
      </c>
      <c r="E478">
        <v>5432.84</v>
      </c>
      <c r="F478" t="s">
        <v>46</v>
      </c>
      <c r="G478" s="1">
        <v>46124</v>
      </c>
      <c r="H478">
        <f t="shared" si="14"/>
        <v>10865.68</v>
      </c>
      <c r="I478" t="str">
        <f t="shared" si="15"/>
        <v>April</v>
      </c>
    </row>
    <row r="479" spans="1:9" x14ac:dyDescent="0.3">
      <c r="A479" t="s">
        <v>513</v>
      </c>
      <c r="B479" t="s">
        <v>62</v>
      </c>
      <c r="C479" t="s">
        <v>25</v>
      </c>
      <c r="D479">
        <v>4</v>
      </c>
      <c r="E479">
        <v>1873.59</v>
      </c>
      <c r="F479" t="s">
        <v>10</v>
      </c>
      <c r="G479" s="1">
        <v>46032</v>
      </c>
      <c r="H479">
        <f t="shared" si="14"/>
        <v>7494.36</v>
      </c>
      <c r="I479" t="str">
        <f t="shared" si="15"/>
        <v>January</v>
      </c>
    </row>
    <row r="480" spans="1:9" x14ac:dyDescent="0.3">
      <c r="A480" t="s">
        <v>514</v>
      </c>
      <c r="B480" t="s">
        <v>91</v>
      </c>
      <c r="C480" t="s">
        <v>13</v>
      </c>
      <c r="D480">
        <v>3</v>
      </c>
      <c r="E480">
        <v>55747.58</v>
      </c>
      <c r="F480" t="s">
        <v>18</v>
      </c>
      <c r="G480" s="1">
        <v>46108</v>
      </c>
      <c r="H480">
        <f t="shared" si="14"/>
        <v>167242.74</v>
      </c>
      <c r="I480" t="str">
        <f t="shared" si="15"/>
        <v>March</v>
      </c>
    </row>
    <row r="481" spans="1:9" x14ac:dyDescent="0.3">
      <c r="A481" t="s">
        <v>515</v>
      </c>
      <c r="B481" t="s">
        <v>24</v>
      </c>
      <c r="C481" t="s">
        <v>25</v>
      </c>
      <c r="D481">
        <v>4</v>
      </c>
      <c r="E481">
        <v>877.16</v>
      </c>
      <c r="F481" t="s">
        <v>14</v>
      </c>
      <c r="G481" s="1">
        <v>46157</v>
      </c>
      <c r="H481">
        <f t="shared" si="14"/>
        <v>3508.64</v>
      </c>
      <c r="I481" t="str">
        <f t="shared" si="15"/>
        <v>May</v>
      </c>
    </row>
    <row r="482" spans="1:9" x14ac:dyDescent="0.3">
      <c r="A482" t="s">
        <v>516</v>
      </c>
      <c r="B482" t="s">
        <v>44</v>
      </c>
      <c r="C482" t="s">
        <v>39</v>
      </c>
      <c r="D482">
        <v>2</v>
      </c>
      <c r="E482">
        <v>3745.74</v>
      </c>
      <c r="F482" t="s">
        <v>22</v>
      </c>
      <c r="G482" s="1">
        <v>46092</v>
      </c>
      <c r="H482">
        <f t="shared" si="14"/>
        <v>7491.48</v>
      </c>
      <c r="I482" t="str">
        <f t="shared" si="15"/>
        <v>March</v>
      </c>
    </row>
    <row r="483" spans="1:9" x14ac:dyDescent="0.3">
      <c r="A483" t="s">
        <v>517</v>
      </c>
      <c r="B483" t="s">
        <v>12</v>
      </c>
      <c r="C483" t="s">
        <v>13</v>
      </c>
      <c r="D483">
        <v>1</v>
      </c>
      <c r="E483">
        <v>1449.21</v>
      </c>
      <c r="F483" t="s">
        <v>22</v>
      </c>
      <c r="G483" s="1">
        <v>46188</v>
      </c>
      <c r="H483">
        <f t="shared" si="14"/>
        <v>1449.21</v>
      </c>
      <c r="I483" t="str">
        <f t="shared" si="15"/>
        <v>June</v>
      </c>
    </row>
    <row r="484" spans="1:9" x14ac:dyDescent="0.3">
      <c r="A484" t="s">
        <v>518</v>
      </c>
      <c r="B484" t="s">
        <v>24</v>
      </c>
      <c r="C484" t="s">
        <v>25</v>
      </c>
      <c r="D484">
        <v>2</v>
      </c>
      <c r="E484">
        <v>721.35</v>
      </c>
      <c r="F484" t="s">
        <v>32</v>
      </c>
      <c r="G484" s="1">
        <v>46098</v>
      </c>
      <c r="H484">
        <f t="shared" si="14"/>
        <v>1442.7</v>
      </c>
      <c r="I484" t="str">
        <f t="shared" si="15"/>
        <v>March</v>
      </c>
    </row>
    <row r="485" spans="1:9" x14ac:dyDescent="0.3">
      <c r="A485" t="s">
        <v>519</v>
      </c>
      <c r="B485" t="s">
        <v>16</v>
      </c>
      <c r="C485" t="s">
        <v>17</v>
      </c>
      <c r="D485">
        <v>2</v>
      </c>
      <c r="E485">
        <v>420.79</v>
      </c>
      <c r="F485" t="s">
        <v>48</v>
      </c>
      <c r="G485" s="1">
        <v>46132</v>
      </c>
      <c r="H485">
        <f t="shared" si="14"/>
        <v>841.58</v>
      </c>
      <c r="I485" t="str">
        <f t="shared" si="15"/>
        <v>April</v>
      </c>
    </row>
    <row r="486" spans="1:9" x14ac:dyDescent="0.3">
      <c r="A486" t="s">
        <v>520</v>
      </c>
      <c r="B486" t="s">
        <v>80</v>
      </c>
      <c r="C486" t="s">
        <v>39</v>
      </c>
      <c r="D486">
        <v>3</v>
      </c>
      <c r="E486">
        <v>3852.86</v>
      </c>
      <c r="F486" t="s">
        <v>18</v>
      </c>
      <c r="G486" s="1">
        <v>46070</v>
      </c>
      <c r="H486">
        <f t="shared" si="14"/>
        <v>11558.58</v>
      </c>
      <c r="I486" t="str">
        <f t="shared" si="15"/>
        <v>February</v>
      </c>
    </row>
    <row r="487" spans="1:9" x14ac:dyDescent="0.3">
      <c r="A487" t="s">
        <v>521</v>
      </c>
      <c r="B487" t="s">
        <v>72</v>
      </c>
      <c r="C487" t="s">
        <v>13</v>
      </c>
      <c r="D487">
        <v>4</v>
      </c>
      <c r="E487">
        <v>2122.38</v>
      </c>
      <c r="F487" t="s">
        <v>29</v>
      </c>
      <c r="G487" s="1">
        <v>46024</v>
      </c>
      <c r="H487">
        <f t="shared" si="14"/>
        <v>8489.52</v>
      </c>
      <c r="I487" t="str">
        <f t="shared" si="15"/>
        <v>January</v>
      </c>
    </row>
    <row r="488" spans="1:9" x14ac:dyDescent="0.3">
      <c r="A488" t="s">
        <v>522</v>
      </c>
      <c r="B488" t="s">
        <v>24</v>
      </c>
      <c r="C488" t="s">
        <v>25</v>
      </c>
      <c r="D488">
        <v>4</v>
      </c>
      <c r="E488">
        <v>756.74</v>
      </c>
      <c r="F488" t="s">
        <v>10</v>
      </c>
      <c r="G488" s="1">
        <v>46107</v>
      </c>
      <c r="H488">
        <f t="shared" si="14"/>
        <v>3026.96</v>
      </c>
      <c r="I488" t="str">
        <f t="shared" si="15"/>
        <v>March</v>
      </c>
    </row>
    <row r="489" spans="1:9" x14ac:dyDescent="0.3">
      <c r="A489" t="s">
        <v>523</v>
      </c>
      <c r="B489" t="s">
        <v>24</v>
      </c>
      <c r="C489" t="s">
        <v>25</v>
      </c>
      <c r="D489">
        <v>5</v>
      </c>
      <c r="E489">
        <v>834.62</v>
      </c>
      <c r="F489" t="s">
        <v>46</v>
      </c>
      <c r="G489" s="1">
        <v>46089</v>
      </c>
      <c r="H489">
        <f t="shared" si="14"/>
        <v>4173.1000000000004</v>
      </c>
      <c r="I489" t="str">
        <f t="shared" si="15"/>
        <v>March</v>
      </c>
    </row>
    <row r="490" spans="1:9" x14ac:dyDescent="0.3">
      <c r="A490" t="s">
        <v>524</v>
      </c>
      <c r="B490" t="s">
        <v>8</v>
      </c>
      <c r="C490" t="s">
        <v>9</v>
      </c>
      <c r="D490">
        <v>3</v>
      </c>
      <c r="E490">
        <v>1869.4</v>
      </c>
      <c r="F490" t="s">
        <v>46</v>
      </c>
      <c r="G490" s="1">
        <v>46193</v>
      </c>
      <c r="H490">
        <f t="shared" si="14"/>
        <v>5608.2000000000007</v>
      </c>
      <c r="I490" t="str">
        <f t="shared" si="15"/>
        <v>June</v>
      </c>
    </row>
    <row r="491" spans="1:9" x14ac:dyDescent="0.3">
      <c r="A491" t="s">
        <v>525</v>
      </c>
      <c r="B491" t="s">
        <v>31</v>
      </c>
      <c r="C491" t="s">
        <v>13</v>
      </c>
      <c r="D491">
        <v>4</v>
      </c>
      <c r="E491">
        <v>17304.5</v>
      </c>
      <c r="F491" t="s">
        <v>48</v>
      </c>
      <c r="G491" s="1">
        <v>46198</v>
      </c>
      <c r="H491">
        <f t="shared" si="14"/>
        <v>69218</v>
      </c>
      <c r="I491" t="str">
        <f t="shared" si="15"/>
        <v>June</v>
      </c>
    </row>
    <row r="492" spans="1:9" x14ac:dyDescent="0.3">
      <c r="A492" t="s">
        <v>526</v>
      </c>
      <c r="B492" t="s">
        <v>80</v>
      </c>
      <c r="C492" t="s">
        <v>39</v>
      </c>
      <c r="D492">
        <v>3</v>
      </c>
      <c r="E492">
        <v>4359.84</v>
      </c>
      <c r="F492" t="s">
        <v>10</v>
      </c>
      <c r="G492" s="1">
        <v>46117</v>
      </c>
      <c r="H492">
        <f t="shared" si="14"/>
        <v>13079.52</v>
      </c>
      <c r="I492" t="str">
        <f t="shared" si="15"/>
        <v>April</v>
      </c>
    </row>
    <row r="493" spans="1:9" x14ac:dyDescent="0.3">
      <c r="A493" t="s">
        <v>527</v>
      </c>
      <c r="B493" t="s">
        <v>16</v>
      </c>
      <c r="C493" t="s">
        <v>17</v>
      </c>
      <c r="D493">
        <v>2</v>
      </c>
      <c r="E493">
        <v>424.72</v>
      </c>
      <c r="F493" t="s">
        <v>26</v>
      </c>
      <c r="G493" s="1">
        <v>46145</v>
      </c>
      <c r="H493">
        <f t="shared" si="14"/>
        <v>849.44</v>
      </c>
      <c r="I493" t="str">
        <f t="shared" si="15"/>
        <v>May</v>
      </c>
    </row>
    <row r="494" spans="1:9" x14ac:dyDescent="0.3">
      <c r="A494" t="s">
        <v>528</v>
      </c>
      <c r="B494" t="s">
        <v>72</v>
      </c>
      <c r="C494" t="s">
        <v>13</v>
      </c>
      <c r="D494">
        <v>4</v>
      </c>
      <c r="E494">
        <v>2309</v>
      </c>
      <c r="F494" t="s">
        <v>50</v>
      </c>
      <c r="G494" s="1">
        <v>46118</v>
      </c>
      <c r="H494">
        <f t="shared" si="14"/>
        <v>9236</v>
      </c>
      <c r="I494" t="str">
        <f t="shared" si="15"/>
        <v>April</v>
      </c>
    </row>
    <row r="495" spans="1:9" x14ac:dyDescent="0.3">
      <c r="A495" t="s">
        <v>529</v>
      </c>
      <c r="B495" t="s">
        <v>28</v>
      </c>
      <c r="C495" t="s">
        <v>9</v>
      </c>
      <c r="D495">
        <v>5</v>
      </c>
      <c r="E495">
        <v>5411.71</v>
      </c>
      <c r="F495" t="s">
        <v>14</v>
      </c>
      <c r="G495" s="1">
        <v>46193</v>
      </c>
      <c r="H495">
        <f t="shared" si="14"/>
        <v>27058.55</v>
      </c>
      <c r="I495" t="str">
        <f t="shared" si="15"/>
        <v>June</v>
      </c>
    </row>
    <row r="496" spans="1:9" x14ac:dyDescent="0.3">
      <c r="A496" t="s">
        <v>530</v>
      </c>
      <c r="B496" t="s">
        <v>38</v>
      </c>
      <c r="C496" t="s">
        <v>39</v>
      </c>
      <c r="D496">
        <v>2</v>
      </c>
      <c r="E496">
        <v>6840.42</v>
      </c>
      <c r="F496" t="s">
        <v>50</v>
      </c>
      <c r="G496" s="1">
        <v>46043</v>
      </c>
      <c r="H496">
        <f t="shared" si="14"/>
        <v>13680.84</v>
      </c>
      <c r="I496" t="str">
        <f t="shared" si="15"/>
        <v>January</v>
      </c>
    </row>
    <row r="497" spans="1:9" x14ac:dyDescent="0.3">
      <c r="A497" t="s">
        <v>531</v>
      </c>
      <c r="B497" t="s">
        <v>80</v>
      </c>
      <c r="C497" t="s">
        <v>39</v>
      </c>
      <c r="D497">
        <v>4</v>
      </c>
      <c r="E497">
        <v>4223.67</v>
      </c>
      <c r="F497" t="s">
        <v>32</v>
      </c>
      <c r="G497" s="1">
        <v>46042</v>
      </c>
      <c r="H497">
        <f t="shared" si="14"/>
        <v>16894.68</v>
      </c>
      <c r="I497" t="str">
        <f t="shared" si="15"/>
        <v>January</v>
      </c>
    </row>
    <row r="498" spans="1:9" x14ac:dyDescent="0.3">
      <c r="A498" t="s">
        <v>532</v>
      </c>
      <c r="B498" t="s">
        <v>16</v>
      </c>
      <c r="C498" t="s">
        <v>17</v>
      </c>
      <c r="D498">
        <v>1</v>
      </c>
      <c r="E498">
        <v>410.56</v>
      </c>
      <c r="F498" t="s">
        <v>14</v>
      </c>
      <c r="G498" s="1">
        <v>46152</v>
      </c>
      <c r="H498">
        <f t="shared" si="14"/>
        <v>410.56</v>
      </c>
      <c r="I498" t="str">
        <f t="shared" si="15"/>
        <v>May</v>
      </c>
    </row>
    <row r="499" spans="1:9" x14ac:dyDescent="0.3">
      <c r="A499" t="s">
        <v>533</v>
      </c>
      <c r="B499" t="s">
        <v>12</v>
      </c>
      <c r="C499" t="s">
        <v>13</v>
      </c>
      <c r="D499">
        <v>5</v>
      </c>
      <c r="E499">
        <v>1511</v>
      </c>
      <c r="F499" t="s">
        <v>26</v>
      </c>
      <c r="G499" s="1">
        <v>46106</v>
      </c>
      <c r="H499">
        <f t="shared" si="14"/>
        <v>7555</v>
      </c>
      <c r="I499" t="str">
        <f t="shared" si="15"/>
        <v>March</v>
      </c>
    </row>
    <row r="500" spans="1:9" x14ac:dyDescent="0.3">
      <c r="A500" t="s">
        <v>534</v>
      </c>
      <c r="B500" t="s">
        <v>38</v>
      </c>
      <c r="C500" t="s">
        <v>39</v>
      </c>
      <c r="D500">
        <v>5</v>
      </c>
      <c r="E500">
        <v>6424.39</v>
      </c>
      <c r="F500" t="s">
        <v>29</v>
      </c>
      <c r="G500" s="1">
        <v>46172</v>
      </c>
      <c r="H500">
        <f t="shared" si="14"/>
        <v>32121.95</v>
      </c>
      <c r="I500" t="str">
        <f t="shared" si="15"/>
        <v>May</v>
      </c>
    </row>
    <row r="501" spans="1:9" x14ac:dyDescent="0.3">
      <c r="A501" t="s">
        <v>535</v>
      </c>
      <c r="B501" t="s">
        <v>44</v>
      </c>
      <c r="C501" t="s">
        <v>39</v>
      </c>
      <c r="D501">
        <v>1</v>
      </c>
      <c r="E501">
        <v>3779.22</v>
      </c>
      <c r="F501" t="s">
        <v>22</v>
      </c>
      <c r="G501" s="1">
        <v>46037</v>
      </c>
      <c r="H501">
        <f t="shared" si="14"/>
        <v>3779.22</v>
      </c>
      <c r="I501" t="str">
        <f t="shared" si="15"/>
        <v>January</v>
      </c>
    </row>
    <row r="502" spans="1:9" x14ac:dyDescent="0.3">
      <c r="A502" t="s">
        <v>536</v>
      </c>
      <c r="B502" t="s">
        <v>44</v>
      </c>
      <c r="C502" t="s">
        <v>39</v>
      </c>
      <c r="D502">
        <v>2</v>
      </c>
      <c r="E502">
        <v>3509.27</v>
      </c>
      <c r="F502" t="s">
        <v>22</v>
      </c>
      <c r="G502" s="1">
        <v>46167</v>
      </c>
      <c r="H502">
        <f t="shared" si="14"/>
        <v>7018.54</v>
      </c>
      <c r="I502" t="str">
        <f t="shared" si="15"/>
        <v>May</v>
      </c>
    </row>
    <row r="503" spans="1:9" x14ac:dyDescent="0.3">
      <c r="A503" t="s">
        <v>537</v>
      </c>
      <c r="B503" t="s">
        <v>91</v>
      </c>
      <c r="C503" t="s">
        <v>13</v>
      </c>
      <c r="D503">
        <v>5</v>
      </c>
      <c r="E503">
        <v>54586.16</v>
      </c>
      <c r="F503" t="s">
        <v>10</v>
      </c>
      <c r="G503" s="1">
        <v>46028</v>
      </c>
      <c r="H503">
        <f t="shared" si="14"/>
        <v>272930.80000000005</v>
      </c>
      <c r="I503" t="str">
        <f t="shared" si="15"/>
        <v>January</v>
      </c>
    </row>
    <row r="504" spans="1:9" x14ac:dyDescent="0.3">
      <c r="A504" t="s">
        <v>538</v>
      </c>
      <c r="B504" t="s">
        <v>28</v>
      </c>
      <c r="C504" t="s">
        <v>9</v>
      </c>
      <c r="D504">
        <v>3</v>
      </c>
      <c r="E504">
        <v>5315.39</v>
      </c>
      <c r="F504" t="s">
        <v>29</v>
      </c>
      <c r="G504" s="1">
        <v>46171</v>
      </c>
      <c r="H504">
        <f t="shared" si="14"/>
        <v>15946.170000000002</v>
      </c>
      <c r="I504" t="str">
        <f t="shared" si="15"/>
        <v>May</v>
      </c>
    </row>
    <row r="505" spans="1:9" x14ac:dyDescent="0.3">
      <c r="A505" t="s">
        <v>539</v>
      </c>
      <c r="B505" t="s">
        <v>31</v>
      </c>
      <c r="C505" t="s">
        <v>13</v>
      </c>
      <c r="D505">
        <v>1</v>
      </c>
      <c r="E505">
        <v>17725.310000000001</v>
      </c>
      <c r="F505" t="s">
        <v>18</v>
      </c>
      <c r="G505" s="1">
        <v>46161</v>
      </c>
      <c r="H505">
        <f t="shared" si="14"/>
        <v>17725.310000000001</v>
      </c>
      <c r="I505" t="str">
        <f t="shared" si="15"/>
        <v>May</v>
      </c>
    </row>
    <row r="506" spans="1:9" x14ac:dyDescent="0.3">
      <c r="A506" t="s">
        <v>540</v>
      </c>
      <c r="B506" t="s">
        <v>91</v>
      </c>
      <c r="C506" t="s">
        <v>13</v>
      </c>
      <c r="D506">
        <v>1</v>
      </c>
      <c r="E506">
        <v>60347.51</v>
      </c>
      <c r="F506" t="s">
        <v>22</v>
      </c>
      <c r="G506" s="1">
        <v>46031</v>
      </c>
      <c r="H506">
        <f t="shared" si="14"/>
        <v>60347.51</v>
      </c>
      <c r="I506" t="str">
        <f t="shared" si="15"/>
        <v>January</v>
      </c>
    </row>
    <row r="507" spans="1:9" x14ac:dyDescent="0.3">
      <c r="A507" t="s">
        <v>541</v>
      </c>
      <c r="B507" t="s">
        <v>24</v>
      </c>
      <c r="C507" t="s">
        <v>25</v>
      </c>
      <c r="D507">
        <v>4</v>
      </c>
      <c r="E507">
        <v>747.86</v>
      </c>
      <c r="F507" t="s">
        <v>26</v>
      </c>
      <c r="G507" s="1">
        <v>46187</v>
      </c>
      <c r="H507">
        <f t="shared" si="14"/>
        <v>2991.44</v>
      </c>
      <c r="I507" t="str">
        <f t="shared" si="15"/>
        <v>June</v>
      </c>
    </row>
    <row r="508" spans="1:9" x14ac:dyDescent="0.3">
      <c r="A508" t="s">
        <v>542</v>
      </c>
      <c r="B508" t="s">
        <v>21</v>
      </c>
      <c r="C508" t="s">
        <v>13</v>
      </c>
      <c r="D508">
        <v>4</v>
      </c>
      <c r="E508">
        <v>27296.98</v>
      </c>
      <c r="F508" t="s">
        <v>48</v>
      </c>
      <c r="G508" s="1">
        <v>46137</v>
      </c>
      <c r="H508">
        <f t="shared" si="14"/>
        <v>109187.92</v>
      </c>
      <c r="I508" t="str">
        <f t="shared" si="15"/>
        <v>April</v>
      </c>
    </row>
    <row r="509" spans="1:9" x14ac:dyDescent="0.3">
      <c r="A509" t="s">
        <v>543</v>
      </c>
      <c r="B509" t="s">
        <v>38</v>
      </c>
      <c r="C509" t="s">
        <v>39</v>
      </c>
      <c r="D509">
        <v>4</v>
      </c>
      <c r="E509">
        <v>6338.34</v>
      </c>
      <c r="F509" t="s">
        <v>14</v>
      </c>
      <c r="G509" s="1">
        <v>46057</v>
      </c>
      <c r="H509">
        <f t="shared" si="14"/>
        <v>25353.360000000001</v>
      </c>
      <c r="I509" t="str">
        <f t="shared" si="15"/>
        <v>February</v>
      </c>
    </row>
    <row r="510" spans="1:9" x14ac:dyDescent="0.3">
      <c r="A510" t="s">
        <v>544</v>
      </c>
      <c r="B510" t="s">
        <v>8</v>
      </c>
      <c r="C510" t="s">
        <v>9</v>
      </c>
      <c r="D510">
        <v>3</v>
      </c>
      <c r="E510">
        <v>1662.71</v>
      </c>
      <c r="F510" t="s">
        <v>14</v>
      </c>
      <c r="G510" s="1">
        <v>46123</v>
      </c>
      <c r="H510">
        <f t="shared" si="14"/>
        <v>4988.13</v>
      </c>
      <c r="I510" t="str">
        <f t="shared" si="15"/>
        <v>April</v>
      </c>
    </row>
    <row r="511" spans="1:9" x14ac:dyDescent="0.3">
      <c r="A511" t="s">
        <v>545</v>
      </c>
      <c r="B511" t="s">
        <v>80</v>
      </c>
      <c r="C511" t="s">
        <v>39</v>
      </c>
      <c r="D511">
        <v>2</v>
      </c>
      <c r="E511">
        <v>4391.3999999999996</v>
      </c>
      <c r="F511" t="s">
        <v>29</v>
      </c>
      <c r="G511" s="1">
        <v>46023</v>
      </c>
      <c r="H511">
        <f t="shared" si="14"/>
        <v>8782.7999999999993</v>
      </c>
      <c r="I511" t="str">
        <f t="shared" si="15"/>
        <v>January</v>
      </c>
    </row>
    <row r="512" spans="1:9" x14ac:dyDescent="0.3">
      <c r="A512" t="s">
        <v>546</v>
      </c>
      <c r="B512" t="s">
        <v>62</v>
      </c>
      <c r="C512" t="s">
        <v>25</v>
      </c>
      <c r="D512">
        <v>1</v>
      </c>
      <c r="E512">
        <v>2190.3000000000002</v>
      </c>
      <c r="F512" t="s">
        <v>22</v>
      </c>
      <c r="G512" s="1">
        <v>46195</v>
      </c>
      <c r="H512">
        <f t="shared" si="14"/>
        <v>2190.3000000000002</v>
      </c>
      <c r="I512" t="str">
        <f t="shared" si="15"/>
        <v>June</v>
      </c>
    </row>
    <row r="513" spans="1:9" x14ac:dyDescent="0.3">
      <c r="A513" t="s">
        <v>547</v>
      </c>
      <c r="B513" t="s">
        <v>21</v>
      </c>
      <c r="C513" t="s">
        <v>13</v>
      </c>
      <c r="D513">
        <v>5</v>
      </c>
      <c r="E513">
        <v>27575.119999999999</v>
      </c>
      <c r="F513" t="s">
        <v>48</v>
      </c>
      <c r="G513" s="1">
        <v>46081</v>
      </c>
      <c r="H513">
        <f t="shared" si="14"/>
        <v>137875.6</v>
      </c>
      <c r="I513" t="str">
        <f t="shared" si="15"/>
        <v>February</v>
      </c>
    </row>
    <row r="514" spans="1:9" x14ac:dyDescent="0.3">
      <c r="A514" t="s">
        <v>548</v>
      </c>
      <c r="B514" t="s">
        <v>12</v>
      </c>
      <c r="C514" t="s">
        <v>13</v>
      </c>
      <c r="D514">
        <v>4</v>
      </c>
      <c r="E514">
        <v>1453.85</v>
      </c>
      <c r="F514" t="s">
        <v>10</v>
      </c>
      <c r="G514" s="1">
        <v>46071</v>
      </c>
      <c r="H514">
        <f t="shared" si="14"/>
        <v>5815.4</v>
      </c>
      <c r="I514" t="str">
        <f t="shared" si="15"/>
        <v>February</v>
      </c>
    </row>
    <row r="515" spans="1:9" x14ac:dyDescent="0.3">
      <c r="A515" t="s">
        <v>549</v>
      </c>
      <c r="B515" t="s">
        <v>21</v>
      </c>
      <c r="C515" t="s">
        <v>13</v>
      </c>
      <c r="D515">
        <v>1</v>
      </c>
      <c r="E515">
        <v>25380.42</v>
      </c>
      <c r="F515" t="s">
        <v>48</v>
      </c>
      <c r="G515" s="1">
        <v>46180</v>
      </c>
      <c r="H515">
        <f t="shared" ref="H515:H578" si="16">D515*E515</f>
        <v>25380.42</v>
      </c>
      <c r="I515" t="str">
        <f t="shared" ref="I515:I578" si="17">TEXT(G515, "mmmm")</f>
        <v>June</v>
      </c>
    </row>
    <row r="516" spans="1:9" x14ac:dyDescent="0.3">
      <c r="A516" t="s">
        <v>550</v>
      </c>
      <c r="B516" t="s">
        <v>62</v>
      </c>
      <c r="C516" t="s">
        <v>25</v>
      </c>
      <c r="D516">
        <v>1</v>
      </c>
      <c r="E516">
        <v>1895.32</v>
      </c>
      <c r="F516" t="s">
        <v>18</v>
      </c>
      <c r="G516" s="1">
        <v>46048</v>
      </c>
      <c r="H516">
        <f t="shared" si="16"/>
        <v>1895.32</v>
      </c>
      <c r="I516" t="str">
        <f t="shared" si="17"/>
        <v>January</v>
      </c>
    </row>
    <row r="517" spans="1:9" x14ac:dyDescent="0.3">
      <c r="A517" t="s">
        <v>551</v>
      </c>
      <c r="B517" t="s">
        <v>16</v>
      </c>
      <c r="C517" t="s">
        <v>17</v>
      </c>
      <c r="D517">
        <v>1</v>
      </c>
      <c r="E517">
        <v>445.18</v>
      </c>
      <c r="F517" t="s">
        <v>46</v>
      </c>
      <c r="G517" s="1">
        <v>46085</v>
      </c>
      <c r="H517">
        <f t="shared" si="16"/>
        <v>445.18</v>
      </c>
      <c r="I517" t="str">
        <f t="shared" si="17"/>
        <v>March</v>
      </c>
    </row>
    <row r="518" spans="1:9" x14ac:dyDescent="0.3">
      <c r="A518" t="s">
        <v>552</v>
      </c>
      <c r="B518" t="s">
        <v>21</v>
      </c>
      <c r="C518" t="s">
        <v>13</v>
      </c>
      <c r="D518">
        <v>1</v>
      </c>
      <c r="E518">
        <v>27452.69</v>
      </c>
      <c r="F518" t="s">
        <v>29</v>
      </c>
      <c r="G518" s="1">
        <v>46161</v>
      </c>
      <c r="H518">
        <f t="shared" si="16"/>
        <v>27452.69</v>
      </c>
      <c r="I518" t="str">
        <f t="shared" si="17"/>
        <v>May</v>
      </c>
    </row>
    <row r="519" spans="1:9" x14ac:dyDescent="0.3">
      <c r="A519" t="s">
        <v>553</v>
      </c>
      <c r="B519" t="s">
        <v>12</v>
      </c>
      <c r="C519" t="s">
        <v>13</v>
      </c>
      <c r="D519">
        <v>1</v>
      </c>
      <c r="E519">
        <v>1392.04</v>
      </c>
      <c r="F519" t="s">
        <v>10</v>
      </c>
      <c r="G519" s="1">
        <v>46082</v>
      </c>
      <c r="H519">
        <f t="shared" si="16"/>
        <v>1392.04</v>
      </c>
      <c r="I519" t="str">
        <f t="shared" si="17"/>
        <v>March</v>
      </c>
    </row>
    <row r="520" spans="1:9" x14ac:dyDescent="0.3">
      <c r="A520" t="s">
        <v>554</v>
      </c>
      <c r="B520" t="s">
        <v>38</v>
      </c>
      <c r="C520" t="s">
        <v>39</v>
      </c>
      <c r="D520">
        <v>5</v>
      </c>
      <c r="E520">
        <v>6264.57</v>
      </c>
      <c r="F520" t="s">
        <v>50</v>
      </c>
      <c r="G520" s="1">
        <v>46195</v>
      </c>
      <c r="H520">
        <f t="shared" si="16"/>
        <v>31322.85</v>
      </c>
      <c r="I520" t="str">
        <f t="shared" si="17"/>
        <v>June</v>
      </c>
    </row>
    <row r="521" spans="1:9" x14ac:dyDescent="0.3">
      <c r="A521" t="s">
        <v>555</v>
      </c>
      <c r="B521" t="s">
        <v>38</v>
      </c>
      <c r="C521" t="s">
        <v>39</v>
      </c>
      <c r="D521">
        <v>3</v>
      </c>
      <c r="E521">
        <v>6157.98</v>
      </c>
      <c r="F521" t="s">
        <v>26</v>
      </c>
      <c r="G521" s="1">
        <v>46192</v>
      </c>
      <c r="H521">
        <f t="shared" si="16"/>
        <v>18473.939999999999</v>
      </c>
      <c r="I521" t="str">
        <f t="shared" si="17"/>
        <v>June</v>
      </c>
    </row>
    <row r="522" spans="1:9" x14ac:dyDescent="0.3">
      <c r="A522" t="s">
        <v>556</v>
      </c>
      <c r="B522" t="s">
        <v>80</v>
      </c>
      <c r="C522" t="s">
        <v>39</v>
      </c>
      <c r="D522">
        <v>2</v>
      </c>
      <c r="E522">
        <v>4127.3900000000003</v>
      </c>
      <c r="F522" t="s">
        <v>10</v>
      </c>
      <c r="G522" s="1">
        <v>46038</v>
      </c>
      <c r="H522">
        <f t="shared" si="16"/>
        <v>8254.7800000000007</v>
      </c>
      <c r="I522" t="str">
        <f t="shared" si="17"/>
        <v>January</v>
      </c>
    </row>
    <row r="523" spans="1:9" x14ac:dyDescent="0.3">
      <c r="A523" t="s">
        <v>557</v>
      </c>
      <c r="B523" t="s">
        <v>80</v>
      </c>
      <c r="C523" t="s">
        <v>39</v>
      </c>
      <c r="D523">
        <v>5</v>
      </c>
      <c r="E523">
        <v>4518.96</v>
      </c>
      <c r="F523" t="s">
        <v>26</v>
      </c>
      <c r="G523" s="1">
        <v>46183</v>
      </c>
      <c r="H523">
        <f t="shared" si="16"/>
        <v>22594.799999999999</v>
      </c>
      <c r="I523" t="str">
        <f t="shared" si="17"/>
        <v>June</v>
      </c>
    </row>
    <row r="524" spans="1:9" x14ac:dyDescent="0.3">
      <c r="A524" t="s">
        <v>558</v>
      </c>
      <c r="B524" t="s">
        <v>8</v>
      </c>
      <c r="C524" t="s">
        <v>9</v>
      </c>
      <c r="D524">
        <v>4</v>
      </c>
      <c r="E524">
        <v>1820.11</v>
      </c>
      <c r="F524" t="s">
        <v>46</v>
      </c>
      <c r="G524" s="1">
        <v>46111</v>
      </c>
      <c r="H524">
        <f t="shared" si="16"/>
        <v>7280.44</v>
      </c>
      <c r="I524" t="str">
        <f t="shared" si="17"/>
        <v>March</v>
      </c>
    </row>
    <row r="525" spans="1:9" x14ac:dyDescent="0.3">
      <c r="A525" t="s">
        <v>559</v>
      </c>
      <c r="B525" t="s">
        <v>8</v>
      </c>
      <c r="C525" t="s">
        <v>9</v>
      </c>
      <c r="D525">
        <v>4</v>
      </c>
      <c r="E525">
        <v>1902.89</v>
      </c>
      <c r="F525" t="s">
        <v>32</v>
      </c>
      <c r="G525" s="1">
        <v>46201</v>
      </c>
      <c r="H525">
        <f t="shared" si="16"/>
        <v>7611.56</v>
      </c>
      <c r="I525" t="str">
        <f t="shared" si="17"/>
        <v>June</v>
      </c>
    </row>
    <row r="526" spans="1:9" x14ac:dyDescent="0.3">
      <c r="A526" t="s">
        <v>560</v>
      </c>
      <c r="B526" t="s">
        <v>28</v>
      </c>
      <c r="C526" t="s">
        <v>9</v>
      </c>
      <c r="D526">
        <v>4</v>
      </c>
      <c r="E526">
        <v>4648.29</v>
      </c>
      <c r="F526" t="s">
        <v>48</v>
      </c>
      <c r="G526" s="1">
        <v>46070</v>
      </c>
      <c r="H526">
        <f t="shared" si="16"/>
        <v>18593.16</v>
      </c>
      <c r="I526" t="str">
        <f t="shared" si="17"/>
        <v>February</v>
      </c>
    </row>
    <row r="527" spans="1:9" x14ac:dyDescent="0.3">
      <c r="A527" t="s">
        <v>561</v>
      </c>
      <c r="B527" t="s">
        <v>62</v>
      </c>
      <c r="C527" t="s">
        <v>25</v>
      </c>
      <c r="D527">
        <v>5</v>
      </c>
      <c r="E527">
        <v>1988.41</v>
      </c>
      <c r="F527" t="s">
        <v>29</v>
      </c>
      <c r="G527" s="1">
        <v>46099</v>
      </c>
      <c r="H527">
        <f t="shared" si="16"/>
        <v>9942.0500000000011</v>
      </c>
      <c r="I527" t="str">
        <f t="shared" si="17"/>
        <v>March</v>
      </c>
    </row>
    <row r="528" spans="1:9" x14ac:dyDescent="0.3">
      <c r="A528" t="s">
        <v>562</v>
      </c>
      <c r="B528" t="s">
        <v>38</v>
      </c>
      <c r="C528" t="s">
        <v>39</v>
      </c>
      <c r="D528">
        <v>2</v>
      </c>
      <c r="E528">
        <v>6897.51</v>
      </c>
      <c r="F528" t="s">
        <v>46</v>
      </c>
      <c r="G528" s="1">
        <v>46166</v>
      </c>
      <c r="H528">
        <f t="shared" si="16"/>
        <v>13795.02</v>
      </c>
      <c r="I528" t="str">
        <f t="shared" si="17"/>
        <v>May</v>
      </c>
    </row>
    <row r="529" spans="1:9" x14ac:dyDescent="0.3">
      <c r="A529" t="s">
        <v>563</v>
      </c>
      <c r="B529" t="s">
        <v>28</v>
      </c>
      <c r="C529" t="s">
        <v>9</v>
      </c>
      <c r="D529">
        <v>4</v>
      </c>
      <c r="E529">
        <v>5056.28</v>
      </c>
      <c r="F529" t="s">
        <v>26</v>
      </c>
      <c r="G529" s="1">
        <v>46122</v>
      </c>
      <c r="H529">
        <f t="shared" si="16"/>
        <v>20225.12</v>
      </c>
      <c r="I529" t="str">
        <f t="shared" si="17"/>
        <v>April</v>
      </c>
    </row>
    <row r="530" spans="1:9" x14ac:dyDescent="0.3">
      <c r="A530" t="s">
        <v>564</v>
      </c>
      <c r="B530" t="s">
        <v>12</v>
      </c>
      <c r="C530" t="s">
        <v>13</v>
      </c>
      <c r="D530">
        <v>3</v>
      </c>
      <c r="E530">
        <v>1411</v>
      </c>
      <c r="F530" t="s">
        <v>18</v>
      </c>
      <c r="G530" s="1">
        <v>46138</v>
      </c>
      <c r="H530">
        <f t="shared" si="16"/>
        <v>4233</v>
      </c>
      <c r="I530" t="str">
        <f t="shared" si="17"/>
        <v>April</v>
      </c>
    </row>
    <row r="531" spans="1:9" x14ac:dyDescent="0.3">
      <c r="A531" t="s">
        <v>565</v>
      </c>
      <c r="B531" t="s">
        <v>38</v>
      </c>
      <c r="C531" t="s">
        <v>39</v>
      </c>
      <c r="D531">
        <v>3</v>
      </c>
      <c r="E531">
        <v>5970.2</v>
      </c>
      <c r="F531" t="s">
        <v>29</v>
      </c>
      <c r="G531" s="1">
        <v>46036</v>
      </c>
      <c r="H531">
        <f t="shared" si="16"/>
        <v>17910.599999999999</v>
      </c>
      <c r="I531" t="str">
        <f t="shared" si="17"/>
        <v>January</v>
      </c>
    </row>
    <row r="532" spans="1:9" x14ac:dyDescent="0.3">
      <c r="A532" t="s">
        <v>566</v>
      </c>
      <c r="B532" t="s">
        <v>24</v>
      </c>
      <c r="C532" t="s">
        <v>25</v>
      </c>
      <c r="D532">
        <v>4</v>
      </c>
      <c r="E532">
        <v>826.75</v>
      </c>
      <c r="F532" t="s">
        <v>50</v>
      </c>
      <c r="G532" s="1">
        <v>46033</v>
      </c>
      <c r="H532">
        <f t="shared" si="16"/>
        <v>3307</v>
      </c>
      <c r="I532" t="str">
        <f t="shared" si="17"/>
        <v>January</v>
      </c>
    </row>
    <row r="533" spans="1:9" x14ac:dyDescent="0.3">
      <c r="A533" t="s">
        <v>567</v>
      </c>
      <c r="B533" t="s">
        <v>38</v>
      </c>
      <c r="C533" t="s">
        <v>39</v>
      </c>
      <c r="D533">
        <v>1</v>
      </c>
      <c r="E533">
        <v>6094.61</v>
      </c>
      <c r="F533" t="s">
        <v>50</v>
      </c>
      <c r="G533" s="1">
        <v>46194</v>
      </c>
      <c r="H533">
        <f t="shared" si="16"/>
        <v>6094.61</v>
      </c>
      <c r="I533" t="str">
        <f t="shared" si="17"/>
        <v>June</v>
      </c>
    </row>
    <row r="534" spans="1:9" x14ac:dyDescent="0.3">
      <c r="A534" t="s">
        <v>568</v>
      </c>
      <c r="B534" t="s">
        <v>80</v>
      </c>
      <c r="C534" t="s">
        <v>39</v>
      </c>
      <c r="D534">
        <v>2</v>
      </c>
      <c r="E534">
        <v>4182.6899999999996</v>
      </c>
      <c r="F534" t="s">
        <v>32</v>
      </c>
      <c r="G534" s="1">
        <v>46100</v>
      </c>
      <c r="H534">
        <f t="shared" si="16"/>
        <v>8365.3799999999992</v>
      </c>
      <c r="I534" t="str">
        <f t="shared" si="17"/>
        <v>March</v>
      </c>
    </row>
    <row r="535" spans="1:9" x14ac:dyDescent="0.3">
      <c r="A535" t="s">
        <v>569</v>
      </c>
      <c r="B535" t="s">
        <v>91</v>
      </c>
      <c r="C535" t="s">
        <v>13</v>
      </c>
      <c r="D535">
        <v>2</v>
      </c>
      <c r="E535">
        <v>59808.76</v>
      </c>
      <c r="F535" t="s">
        <v>18</v>
      </c>
      <c r="G535" s="1">
        <v>46145</v>
      </c>
      <c r="H535">
        <f t="shared" si="16"/>
        <v>119617.52</v>
      </c>
      <c r="I535" t="str">
        <f t="shared" si="17"/>
        <v>May</v>
      </c>
    </row>
    <row r="536" spans="1:9" x14ac:dyDescent="0.3">
      <c r="A536" t="s">
        <v>570</v>
      </c>
      <c r="B536" t="s">
        <v>12</v>
      </c>
      <c r="C536" t="s">
        <v>13</v>
      </c>
      <c r="D536">
        <v>5</v>
      </c>
      <c r="E536">
        <v>1561.13</v>
      </c>
      <c r="F536" t="s">
        <v>48</v>
      </c>
      <c r="G536" s="1">
        <v>46084</v>
      </c>
      <c r="H536">
        <f t="shared" si="16"/>
        <v>7805.6500000000005</v>
      </c>
      <c r="I536" t="str">
        <f t="shared" si="17"/>
        <v>March</v>
      </c>
    </row>
    <row r="537" spans="1:9" x14ac:dyDescent="0.3">
      <c r="A537" t="s">
        <v>571</v>
      </c>
      <c r="B537" t="s">
        <v>80</v>
      </c>
      <c r="C537" t="s">
        <v>39</v>
      </c>
      <c r="D537">
        <v>3</v>
      </c>
      <c r="E537">
        <v>4431.43</v>
      </c>
      <c r="F537" t="s">
        <v>48</v>
      </c>
      <c r="G537" s="1">
        <v>46142</v>
      </c>
      <c r="H537">
        <f t="shared" si="16"/>
        <v>13294.29</v>
      </c>
      <c r="I537" t="str">
        <f t="shared" si="17"/>
        <v>April</v>
      </c>
    </row>
    <row r="538" spans="1:9" x14ac:dyDescent="0.3">
      <c r="A538" t="s">
        <v>572</v>
      </c>
      <c r="B538" t="s">
        <v>80</v>
      </c>
      <c r="C538" t="s">
        <v>39</v>
      </c>
      <c r="D538">
        <v>3</v>
      </c>
      <c r="E538">
        <v>4039.07</v>
      </c>
      <c r="F538" t="s">
        <v>32</v>
      </c>
      <c r="G538" s="1">
        <v>46154</v>
      </c>
      <c r="H538">
        <f t="shared" si="16"/>
        <v>12117.210000000001</v>
      </c>
      <c r="I538" t="str">
        <f t="shared" si="17"/>
        <v>May</v>
      </c>
    </row>
    <row r="539" spans="1:9" x14ac:dyDescent="0.3">
      <c r="A539" t="s">
        <v>573</v>
      </c>
      <c r="B539" t="s">
        <v>44</v>
      </c>
      <c r="C539" t="s">
        <v>39</v>
      </c>
      <c r="D539">
        <v>4</v>
      </c>
      <c r="E539">
        <v>3219.03</v>
      </c>
      <c r="F539" t="s">
        <v>22</v>
      </c>
      <c r="G539" s="1">
        <v>46104</v>
      </c>
      <c r="H539">
        <f t="shared" si="16"/>
        <v>12876.12</v>
      </c>
      <c r="I539" t="str">
        <f t="shared" si="17"/>
        <v>March</v>
      </c>
    </row>
    <row r="540" spans="1:9" x14ac:dyDescent="0.3">
      <c r="A540" t="s">
        <v>574</v>
      </c>
      <c r="B540" t="s">
        <v>12</v>
      </c>
      <c r="C540" t="s">
        <v>13</v>
      </c>
      <c r="D540">
        <v>3</v>
      </c>
      <c r="E540">
        <v>1443.88</v>
      </c>
      <c r="F540" t="s">
        <v>46</v>
      </c>
      <c r="G540" s="1">
        <v>46167</v>
      </c>
      <c r="H540">
        <f t="shared" si="16"/>
        <v>4331.6400000000003</v>
      </c>
      <c r="I540" t="str">
        <f t="shared" si="17"/>
        <v>May</v>
      </c>
    </row>
    <row r="541" spans="1:9" x14ac:dyDescent="0.3">
      <c r="A541" t="s">
        <v>575</v>
      </c>
      <c r="B541" t="s">
        <v>38</v>
      </c>
      <c r="C541" t="s">
        <v>39</v>
      </c>
      <c r="D541">
        <v>2</v>
      </c>
      <c r="E541">
        <v>6813.63</v>
      </c>
      <c r="F541" t="s">
        <v>46</v>
      </c>
      <c r="G541" s="1">
        <v>46089</v>
      </c>
      <c r="H541">
        <f t="shared" si="16"/>
        <v>13627.26</v>
      </c>
      <c r="I541" t="str">
        <f t="shared" si="17"/>
        <v>March</v>
      </c>
    </row>
    <row r="542" spans="1:9" x14ac:dyDescent="0.3">
      <c r="A542" t="s">
        <v>576</v>
      </c>
      <c r="B542" t="s">
        <v>80</v>
      </c>
      <c r="C542" t="s">
        <v>39</v>
      </c>
      <c r="D542">
        <v>5</v>
      </c>
      <c r="E542">
        <v>4266.4799999999996</v>
      </c>
      <c r="F542" t="s">
        <v>48</v>
      </c>
      <c r="G542" s="1">
        <v>46098</v>
      </c>
      <c r="H542">
        <f t="shared" si="16"/>
        <v>21332.399999999998</v>
      </c>
      <c r="I542" t="str">
        <f t="shared" si="17"/>
        <v>March</v>
      </c>
    </row>
    <row r="543" spans="1:9" x14ac:dyDescent="0.3">
      <c r="A543" t="s">
        <v>577</v>
      </c>
      <c r="B543" t="s">
        <v>72</v>
      </c>
      <c r="C543" t="s">
        <v>13</v>
      </c>
      <c r="D543">
        <v>2</v>
      </c>
      <c r="E543">
        <v>2125.14</v>
      </c>
      <c r="F543" t="s">
        <v>48</v>
      </c>
      <c r="G543" s="1">
        <v>46168</v>
      </c>
      <c r="H543">
        <f t="shared" si="16"/>
        <v>4250.28</v>
      </c>
      <c r="I543" t="str">
        <f t="shared" si="17"/>
        <v>May</v>
      </c>
    </row>
    <row r="544" spans="1:9" x14ac:dyDescent="0.3">
      <c r="A544" t="s">
        <v>578</v>
      </c>
      <c r="B544" t="s">
        <v>38</v>
      </c>
      <c r="C544" t="s">
        <v>39</v>
      </c>
      <c r="D544">
        <v>2</v>
      </c>
      <c r="E544">
        <v>6499.09</v>
      </c>
      <c r="F544" t="s">
        <v>32</v>
      </c>
      <c r="G544" s="1">
        <v>46088</v>
      </c>
      <c r="H544">
        <f t="shared" si="16"/>
        <v>12998.18</v>
      </c>
      <c r="I544" t="str">
        <f t="shared" si="17"/>
        <v>March</v>
      </c>
    </row>
    <row r="545" spans="1:9" x14ac:dyDescent="0.3">
      <c r="A545" t="s">
        <v>579</v>
      </c>
      <c r="B545" t="s">
        <v>62</v>
      </c>
      <c r="C545" t="s">
        <v>25</v>
      </c>
      <c r="D545">
        <v>4</v>
      </c>
      <c r="E545">
        <v>2185.5100000000002</v>
      </c>
      <c r="F545" t="s">
        <v>22</v>
      </c>
      <c r="G545" s="1">
        <v>46140</v>
      </c>
      <c r="H545">
        <f t="shared" si="16"/>
        <v>8742.0400000000009</v>
      </c>
      <c r="I545" t="str">
        <f t="shared" si="17"/>
        <v>April</v>
      </c>
    </row>
    <row r="546" spans="1:9" x14ac:dyDescent="0.3">
      <c r="A546" t="s">
        <v>580</v>
      </c>
      <c r="B546" t="s">
        <v>72</v>
      </c>
      <c r="C546" t="s">
        <v>13</v>
      </c>
      <c r="D546">
        <v>3</v>
      </c>
      <c r="E546">
        <v>2054.48</v>
      </c>
      <c r="F546" t="s">
        <v>14</v>
      </c>
      <c r="G546" s="1">
        <v>46148</v>
      </c>
      <c r="H546">
        <f t="shared" si="16"/>
        <v>6163.4400000000005</v>
      </c>
      <c r="I546" t="str">
        <f t="shared" si="17"/>
        <v>May</v>
      </c>
    </row>
    <row r="547" spans="1:9" x14ac:dyDescent="0.3">
      <c r="A547" t="s">
        <v>581</v>
      </c>
      <c r="B547" t="s">
        <v>72</v>
      </c>
      <c r="C547" t="s">
        <v>13</v>
      </c>
      <c r="D547">
        <v>5</v>
      </c>
      <c r="E547">
        <v>2415.7399999999998</v>
      </c>
      <c r="F547" t="s">
        <v>46</v>
      </c>
      <c r="G547" s="1">
        <v>46157</v>
      </c>
      <c r="H547">
        <f t="shared" si="16"/>
        <v>12078.699999999999</v>
      </c>
      <c r="I547" t="str">
        <f t="shared" si="17"/>
        <v>May</v>
      </c>
    </row>
    <row r="548" spans="1:9" x14ac:dyDescent="0.3">
      <c r="A548" t="s">
        <v>582</v>
      </c>
      <c r="B548" t="s">
        <v>91</v>
      </c>
      <c r="C548" t="s">
        <v>13</v>
      </c>
      <c r="D548">
        <v>1</v>
      </c>
      <c r="E548">
        <v>59897.07</v>
      </c>
      <c r="F548" t="s">
        <v>46</v>
      </c>
      <c r="G548" s="1">
        <v>46024</v>
      </c>
      <c r="H548">
        <f t="shared" si="16"/>
        <v>59897.07</v>
      </c>
      <c r="I548" t="str">
        <f t="shared" si="17"/>
        <v>January</v>
      </c>
    </row>
    <row r="549" spans="1:9" x14ac:dyDescent="0.3">
      <c r="A549" t="s">
        <v>583</v>
      </c>
      <c r="B549" t="s">
        <v>28</v>
      </c>
      <c r="C549" t="s">
        <v>9</v>
      </c>
      <c r="D549">
        <v>2</v>
      </c>
      <c r="E549">
        <v>5341.48</v>
      </c>
      <c r="F549" t="s">
        <v>29</v>
      </c>
      <c r="G549" s="1">
        <v>46040</v>
      </c>
      <c r="H549">
        <f t="shared" si="16"/>
        <v>10682.96</v>
      </c>
      <c r="I549" t="str">
        <f t="shared" si="17"/>
        <v>January</v>
      </c>
    </row>
    <row r="550" spans="1:9" x14ac:dyDescent="0.3">
      <c r="A550" t="s">
        <v>584</v>
      </c>
      <c r="B550" t="s">
        <v>21</v>
      </c>
      <c r="C550" t="s">
        <v>13</v>
      </c>
      <c r="D550">
        <v>2</v>
      </c>
      <c r="E550">
        <v>25251.19</v>
      </c>
      <c r="F550" t="s">
        <v>14</v>
      </c>
      <c r="G550" s="1">
        <v>46139</v>
      </c>
      <c r="H550">
        <f t="shared" si="16"/>
        <v>50502.38</v>
      </c>
      <c r="I550" t="str">
        <f t="shared" si="17"/>
        <v>April</v>
      </c>
    </row>
    <row r="551" spans="1:9" x14ac:dyDescent="0.3">
      <c r="A551" t="s">
        <v>585</v>
      </c>
      <c r="B551" t="s">
        <v>55</v>
      </c>
      <c r="C551" t="s">
        <v>25</v>
      </c>
      <c r="D551">
        <v>1</v>
      </c>
      <c r="E551">
        <v>2557.89</v>
      </c>
      <c r="F551" t="s">
        <v>50</v>
      </c>
      <c r="G551" s="1">
        <v>46146</v>
      </c>
      <c r="H551">
        <f t="shared" si="16"/>
        <v>2557.89</v>
      </c>
      <c r="I551" t="str">
        <f t="shared" si="17"/>
        <v>May</v>
      </c>
    </row>
    <row r="552" spans="1:9" x14ac:dyDescent="0.3">
      <c r="A552" t="s">
        <v>586</v>
      </c>
      <c r="B552" t="s">
        <v>8</v>
      </c>
      <c r="C552" t="s">
        <v>9</v>
      </c>
      <c r="D552">
        <v>4</v>
      </c>
      <c r="E552">
        <v>1625.66</v>
      </c>
      <c r="F552" t="s">
        <v>14</v>
      </c>
      <c r="G552" s="1">
        <v>46164</v>
      </c>
      <c r="H552">
        <f t="shared" si="16"/>
        <v>6502.64</v>
      </c>
      <c r="I552" t="str">
        <f t="shared" si="17"/>
        <v>May</v>
      </c>
    </row>
    <row r="553" spans="1:9" x14ac:dyDescent="0.3">
      <c r="A553" t="s">
        <v>587</v>
      </c>
      <c r="B553" t="s">
        <v>28</v>
      </c>
      <c r="C553" t="s">
        <v>9</v>
      </c>
      <c r="D553">
        <v>1</v>
      </c>
      <c r="E553">
        <v>4515.82</v>
      </c>
      <c r="F553" t="s">
        <v>10</v>
      </c>
      <c r="G553" s="1">
        <v>46160</v>
      </c>
      <c r="H553">
        <f t="shared" si="16"/>
        <v>4515.82</v>
      </c>
      <c r="I553" t="str">
        <f t="shared" si="17"/>
        <v>May</v>
      </c>
    </row>
    <row r="554" spans="1:9" x14ac:dyDescent="0.3">
      <c r="A554" t="s">
        <v>588</v>
      </c>
      <c r="B554" t="s">
        <v>24</v>
      </c>
      <c r="C554" t="s">
        <v>25</v>
      </c>
      <c r="D554">
        <v>1</v>
      </c>
      <c r="E554">
        <v>799.35</v>
      </c>
      <c r="F554" t="s">
        <v>48</v>
      </c>
      <c r="G554" s="1">
        <v>46068</v>
      </c>
      <c r="H554">
        <f t="shared" si="16"/>
        <v>799.35</v>
      </c>
      <c r="I554" t="str">
        <f t="shared" si="17"/>
        <v>February</v>
      </c>
    </row>
    <row r="555" spans="1:9" x14ac:dyDescent="0.3">
      <c r="A555" t="s">
        <v>589</v>
      </c>
      <c r="B555" t="s">
        <v>31</v>
      </c>
      <c r="C555" t="s">
        <v>13</v>
      </c>
      <c r="D555">
        <v>1</v>
      </c>
      <c r="E555">
        <v>18087.79</v>
      </c>
      <c r="F555" t="s">
        <v>29</v>
      </c>
      <c r="G555" s="1">
        <v>46072</v>
      </c>
      <c r="H555">
        <f t="shared" si="16"/>
        <v>18087.79</v>
      </c>
      <c r="I555" t="str">
        <f t="shared" si="17"/>
        <v>February</v>
      </c>
    </row>
    <row r="556" spans="1:9" x14ac:dyDescent="0.3">
      <c r="A556" t="s">
        <v>590</v>
      </c>
      <c r="B556" t="s">
        <v>16</v>
      </c>
      <c r="C556" t="s">
        <v>17</v>
      </c>
      <c r="D556">
        <v>5</v>
      </c>
      <c r="E556">
        <v>427.72</v>
      </c>
      <c r="F556" t="s">
        <v>32</v>
      </c>
      <c r="G556" s="1">
        <v>46091</v>
      </c>
      <c r="H556">
        <f t="shared" si="16"/>
        <v>2138.6000000000004</v>
      </c>
      <c r="I556" t="str">
        <f t="shared" si="17"/>
        <v>March</v>
      </c>
    </row>
    <row r="557" spans="1:9" x14ac:dyDescent="0.3">
      <c r="A557" t="s">
        <v>591</v>
      </c>
      <c r="B557" t="s">
        <v>62</v>
      </c>
      <c r="C557" t="s">
        <v>25</v>
      </c>
      <c r="D557">
        <v>4</v>
      </c>
      <c r="E557">
        <v>1830.69</v>
      </c>
      <c r="F557" t="s">
        <v>48</v>
      </c>
      <c r="G557" s="1">
        <v>46140</v>
      </c>
      <c r="H557">
        <f t="shared" si="16"/>
        <v>7322.76</v>
      </c>
      <c r="I557" t="str">
        <f t="shared" si="17"/>
        <v>April</v>
      </c>
    </row>
    <row r="558" spans="1:9" x14ac:dyDescent="0.3">
      <c r="A558" t="s">
        <v>592</v>
      </c>
      <c r="B558" t="s">
        <v>16</v>
      </c>
      <c r="C558" t="s">
        <v>17</v>
      </c>
      <c r="D558">
        <v>2</v>
      </c>
      <c r="E558">
        <v>494.12</v>
      </c>
      <c r="F558" t="s">
        <v>29</v>
      </c>
      <c r="G558" s="1">
        <v>46099</v>
      </c>
      <c r="H558">
        <f t="shared" si="16"/>
        <v>988.24</v>
      </c>
      <c r="I558" t="str">
        <f t="shared" si="17"/>
        <v>March</v>
      </c>
    </row>
    <row r="559" spans="1:9" x14ac:dyDescent="0.3">
      <c r="A559" t="s">
        <v>593</v>
      </c>
      <c r="B559" t="s">
        <v>8</v>
      </c>
      <c r="C559" t="s">
        <v>9</v>
      </c>
      <c r="D559">
        <v>1</v>
      </c>
      <c r="E559">
        <v>1855.34</v>
      </c>
      <c r="F559" t="s">
        <v>46</v>
      </c>
      <c r="G559" s="1">
        <v>46046</v>
      </c>
      <c r="H559">
        <f t="shared" si="16"/>
        <v>1855.34</v>
      </c>
      <c r="I559" t="str">
        <f t="shared" si="17"/>
        <v>January</v>
      </c>
    </row>
    <row r="560" spans="1:9" x14ac:dyDescent="0.3">
      <c r="A560" t="s">
        <v>594</v>
      </c>
      <c r="B560" t="s">
        <v>28</v>
      </c>
      <c r="C560" t="s">
        <v>9</v>
      </c>
      <c r="D560">
        <v>4</v>
      </c>
      <c r="E560">
        <v>4876.1899999999996</v>
      </c>
      <c r="F560" t="s">
        <v>22</v>
      </c>
      <c r="G560" s="1">
        <v>46037</v>
      </c>
      <c r="H560">
        <f t="shared" si="16"/>
        <v>19504.759999999998</v>
      </c>
      <c r="I560" t="str">
        <f t="shared" si="17"/>
        <v>January</v>
      </c>
    </row>
    <row r="561" spans="1:9" x14ac:dyDescent="0.3">
      <c r="A561" t="s">
        <v>595</v>
      </c>
      <c r="B561" t="s">
        <v>8</v>
      </c>
      <c r="C561" t="s">
        <v>9</v>
      </c>
      <c r="D561">
        <v>1</v>
      </c>
      <c r="E561">
        <v>1873.02</v>
      </c>
      <c r="F561" t="s">
        <v>18</v>
      </c>
      <c r="G561" s="1">
        <v>46150</v>
      </c>
      <c r="H561">
        <f t="shared" si="16"/>
        <v>1873.02</v>
      </c>
      <c r="I561" t="str">
        <f t="shared" si="17"/>
        <v>May</v>
      </c>
    </row>
    <row r="562" spans="1:9" x14ac:dyDescent="0.3">
      <c r="A562" t="s">
        <v>596</v>
      </c>
      <c r="B562" t="s">
        <v>38</v>
      </c>
      <c r="C562" t="s">
        <v>39</v>
      </c>
      <c r="D562">
        <v>4</v>
      </c>
      <c r="E562">
        <v>6688.38</v>
      </c>
      <c r="F562" t="s">
        <v>32</v>
      </c>
      <c r="G562" s="1">
        <v>46167</v>
      </c>
      <c r="H562">
        <f t="shared" si="16"/>
        <v>26753.52</v>
      </c>
      <c r="I562" t="str">
        <f t="shared" si="17"/>
        <v>May</v>
      </c>
    </row>
    <row r="563" spans="1:9" x14ac:dyDescent="0.3">
      <c r="A563" t="s">
        <v>597</v>
      </c>
      <c r="B563" t="s">
        <v>38</v>
      </c>
      <c r="C563" t="s">
        <v>39</v>
      </c>
      <c r="D563">
        <v>1</v>
      </c>
      <c r="E563">
        <v>7013.23</v>
      </c>
      <c r="F563" t="s">
        <v>46</v>
      </c>
      <c r="G563" s="1">
        <v>46081</v>
      </c>
      <c r="H563">
        <f t="shared" si="16"/>
        <v>7013.23</v>
      </c>
      <c r="I563" t="str">
        <f t="shared" si="17"/>
        <v>February</v>
      </c>
    </row>
    <row r="564" spans="1:9" x14ac:dyDescent="0.3">
      <c r="A564" t="s">
        <v>598</v>
      </c>
      <c r="B564" t="s">
        <v>12</v>
      </c>
      <c r="C564" t="s">
        <v>13</v>
      </c>
      <c r="D564">
        <v>5</v>
      </c>
      <c r="E564">
        <v>1492.65</v>
      </c>
      <c r="F564" t="s">
        <v>46</v>
      </c>
      <c r="G564" s="1">
        <v>46042</v>
      </c>
      <c r="H564">
        <f t="shared" si="16"/>
        <v>7463.25</v>
      </c>
      <c r="I564" t="str">
        <f t="shared" si="17"/>
        <v>January</v>
      </c>
    </row>
    <row r="565" spans="1:9" x14ac:dyDescent="0.3">
      <c r="A565" t="s">
        <v>599</v>
      </c>
      <c r="B565" t="s">
        <v>8</v>
      </c>
      <c r="C565" t="s">
        <v>9</v>
      </c>
      <c r="D565">
        <v>3</v>
      </c>
      <c r="E565">
        <v>1943.75</v>
      </c>
      <c r="F565" t="s">
        <v>50</v>
      </c>
      <c r="G565" s="1">
        <v>46191</v>
      </c>
      <c r="H565">
        <f t="shared" si="16"/>
        <v>5831.25</v>
      </c>
      <c r="I565" t="str">
        <f t="shared" si="17"/>
        <v>June</v>
      </c>
    </row>
    <row r="566" spans="1:9" x14ac:dyDescent="0.3">
      <c r="A566" t="s">
        <v>600</v>
      </c>
      <c r="B566" t="s">
        <v>91</v>
      </c>
      <c r="C566" t="s">
        <v>13</v>
      </c>
      <c r="D566">
        <v>2</v>
      </c>
      <c r="E566">
        <v>59716.43</v>
      </c>
      <c r="F566" t="s">
        <v>32</v>
      </c>
      <c r="G566" s="1">
        <v>46027</v>
      </c>
      <c r="H566">
        <f t="shared" si="16"/>
        <v>119432.86</v>
      </c>
      <c r="I566" t="str">
        <f t="shared" si="17"/>
        <v>January</v>
      </c>
    </row>
    <row r="567" spans="1:9" x14ac:dyDescent="0.3">
      <c r="A567" t="s">
        <v>601</v>
      </c>
      <c r="B567" t="s">
        <v>12</v>
      </c>
      <c r="C567" t="s">
        <v>13</v>
      </c>
      <c r="D567">
        <v>5</v>
      </c>
      <c r="E567">
        <v>1393.26</v>
      </c>
      <c r="F567" t="s">
        <v>48</v>
      </c>
      <c r="G567" s="1">
        <v>46042</v>
      </c>
      <c r="H567">
        <f t="shared" si="16"/>
        <v>6966.3</v>
      </c>
      <c r="I567" t="str">
        <f t="shared" si="17"/>
        <v>January</v>
      </c>
    </row>
    <row r="568" spans="1:9" x14ac:dyDescent="0.3">
      <c r="A568" t="s">
        <v>602</v>
      </c>
      <c r="B568" t="s">
        <v>24</v>
      </c>
      <c r="C568" t="s">
        <v>25</v>
      </c>
      <c r="D568">
        <v>2</v>
      </c>
      <c r="E568">
        <v>809.22</v>
      </c>
      <c r="F568" t="s">
        <v>50</v>
      </c>
      <c r="G568" s="1">
        <v>46122</v>
      </c>
      <c r="H568">
        <f t="shared" si="16"/>
        <v>1618.44</v>
      </c>
      <c r="I568" t="str">
        <f t="shared" si="17"/>
        <v>April</v>
      </c>
    </row>
    <row r="569" spans="1:9" x14ac:dyDescent="0.3">
      <c r="A569" t="s">
        <v>603</v>
      </c>
      <c r="B569" t="s">
        <v>8</v>
      </c>
      <c r="C569" t="s">
        <v>9</v>
      </c>
      <c r="D569">
        <v>5</v>
      </c>
      <c r="E569">
        <v>1739.42</v>
      </c>
      <c r="F569" t="s">
        <v>26</v>
      </c>
      <c r="G569" s="1">
        <v>46199</v>
      </c>
      <c r="H569">
        <f t="shared" si="16"/>
        <v>8697.1</v>
      </c>
      <c r="I569" t="str">
        <f t="shared" si="17"/>
        <v>June</v>
      </c>
    </row>
    <row r="570" spans="1:9" x14ac:dyDescent="0.3">
      <c r="A570" t="s">
        <v>604</v>
      </c>
      <c r="B570" t="s">
        <v>21</v>
      </c>
      <c r="C570" t="s">
        <v>13</v>
      </c>
      <c r="D570">
        <v>1</v>
      </c>
      <c r="E570">
        <v>28004.44</v>
      </c>
      <c r="F570" t="s">
        <v>32</v>
      </c>
      <c r="G570" s="1">
        <v>46036</v>
      </c>
      <c r="H570">
        <f t="shared" si="16"/>
        <v>28004.44</v>
      </c>
      <c r="I570" t="str">
        <f t="shared" si="17"/>
        <v>January</v>
      </c>
    </row>
    <row r="571" spans="1:9" x14ac:dyDescent="0.3">
      <c r="A571" t="s">
        <v>605</v>
      </c>
      <c r="B571" t="s">
        <v>31</v>
      </c>
      <c r="C571" t="s">
        <v>13</v>
      </c>
      <c r="D571">
        <v>4</v>
      </c>
      <c r="E571">
        <v>17035.72</v>
      </c>
      <c r="F571" t="s">
        <v>18</v>
      </c>
      <c r="G571" s="1">
        <v>46110</v>
      </c>
      <c r="H571">
        <f t="shared" si="16"/>
        <v>68142.880000000005</v>
      </c>
      <c r="I571" t="str">
        <f t="shared" si="17"/>
        <v>March</v>
      </c>
    </row>
    <row r="572" spans="1:9" x14ac:dyDescent="0.3">
      <c r="A572" t="s">
        <v>606</v>
      </c>
      <c r="B572" t="s">
        <v>16</v>
      </c>
      <c r="C572" t="s">
        <v>17</v>
      </c>
      <c r="D572">
        <v>5</v>
      </c>
      <c r="E572">
        <v>490.94</v>
      </c>
      <c r="F572" t="s">
        <v>48</v>
      </c>
      <c r="G572" s="1">
        <v>46106</v>
      </c>
      <c r="H572">
        <f t="shared" si="16"/>
        <v>2454.6999999999998</v>
      </c>
      <c r="I572" t="str">
        <f t="shared" si="17"/>
        <v>March</v>
      </c>
    </row>
    <row r="573" spans="1:9" x14ac:dyDescent="0.3">
      <c r="A573" t="s">
        <v>607</v>
      </c>
      <c r="B573" t="s">
        <v>91</v>
      </c>
      <c r="C573" t="s">
        <v>13</v>
      </c>
      <c r="D573">
        <v>3</v>
      </c>
      <c r="E573">
        <v>58119.03</v>
      </c>
      <c r="F573" t="s">
        <v>22</v>
      </c>
      <c r="G573" s="1">
        <v>46148</v>
      </c>
      <c r="H573">
        <f t="shared" si="16"/>
        <v>174357.09</v>
      </c>
      <c r="I573" t="str">
        <f t="shared" si="17"/>
        <v>May</v>
      </c>
    </row>
    <row r="574" spans="1:9" x14ac:dyDescent="0.3">
      <c r="A574" t="s">
        <v>608</v>
      </c>
      <c r="B574" t="s">
        <v>12</v>
      </c>
      <c r="C574" t="s">
        <v>13</v>
      </c>
      <c r="D574">
        <v>3</v>
      </c>
      <c r="E574">
        <v>1515.91</v>
      </c>
      <c r="F574" t="s">
        <v>48</v>
      </c>
      <c r="G574" s="1">
        <v>46133</v>
      </c>
      <c r="H574">
        <f t="shared" si="16"/>
        <v>4547.7300000000005</v>
      </c>
      <c r="I574" t="str">
        <f t="shared" si="17"/>
        <v>April</v>
      </c>
    </row>
    <row r="575" spans="1:9" x14ac:dyDescent="0.3">
      <c r="A575" t="s">
        <v>609</v>
      </c>
      <c r="B575" t="s">
        <v>72</v>
      </c>
      <c r="C575" t="s">
        <v>13</v>
      </c>
      <c r="D575">
        <v>5</v>
      </c>
      <c r="E575">
        <v>2270.6999999999998</v>
      </c>
      <c r="F575" t="s">
        <v>18</v>
      </c>
      <c r="G575" s="1">
        <v>46181</v>
      </c>
      <c r="H575">
        <f t="shared" si="16"/>
        <v>11353.5</v>
      </c>
      <c r="I575" t="str">
        <f t="shared" si="17"/>
        <v>June</v>
      </c>
    </row>
    <row r="576" spans="1:9" x14ac:dyDescent="0.3">
      <c r="A576" t="s">
        <v>610</v>
      </c>
      <c r="B576" t="s">
        <v>24</v>
      </c>
      <c r="C576" t="s">
        <v>25</v>
      </c>
      <c r="D576">
        <v>2</v>
      </c>
      <c r="E576">
        <v>833.05</v>
      </c>
      <c r="F576" t="s">
        <v>18</v>
      </c>
      <c r="G576" s="1">
        <v>46091</v>
      </c>
      <c r="H576">
        <f t="shared" si="16"/>
        <v>1666.1</v>
      </c>
      <c r="I576" t="str">
        <f t="shared" si="17"/>
        <v>March</v>
      </c>
    </row>
    <row r="577" spans="1:9" x14ac:dyDescent="0.3">
      <c r="A577" t="s">
        <v>611</v>
      </c>
      <c r="B577" t="s">
        <v>72</v>
      </c>
      <c r="C577" t="s">
        <v>13</v>
      </c>
      <c r="D577">
        <v>4</v>
      </c>
      <c r="E577">
        <v>2293.14</v>
      </c>
      <c r="F577" t="s">
        <v>26</v>
      </c>
      <c r="G577" s="1">
        <v>46122</v>
      </c>
      <c r="H577">
        <f t="shared" si="16"/>
        <v>9172.56</v>
      </c>
      <c r="I577" t="str">
        <f t="shared" si="17"/>
        <v>April</v>
      </c>
    </row>
    <row r="578" spans="1:9" x14ac:dyDescent="0.3">
      <c r="A578" t="s">
        <v>612</v>
      </c>
      <c r="B578" t="s">
        <v>55</v>
      </c>
      <c r="C578" t="s">
        <v>25</v>
      </c>
      <c r="D578">
        <v>3</v>
      </c>
      <c r="E578">
        <v>2302.35</v>
      </c>
      <c r="F578" t="s">
        <v>46</v>
      </c>
      <c r="G578" s="1">
        <v>46101</v>
      </c>
      <c r="H578">
        <f t="shared" si="16"/>
        <v>6907.0499999999993</v>
      </c>
      <c r="I578" t="str">
        <f t="shared" si="17"/>
        <v>March</v>
      </c>
    </row>
    <row r="579" spans="1:9" x14ac:dyDescent="0.3">
      <c r="A579" t="s">
        <v>613</v>
      </c>
      <c r="B579" t="s">
        <v>44</v>
      </c>
      <c r="C579" t="s">
        <v>39</v>
      </c>
      <c r="D579">
        <v>3</v>
      </c>
      <c r="E579">
        <v>3682.94</v>
      </c>
      <c r="F579" t="s">
        <v>18</v>
      </c>
      <c r="G579" s="1">
        <v>46056</v>
      </c>
      <c r="H579">
        <f t="shared" ref="H579:H642" si="18">D579*E579</f>
        <v>11048.82</v>
      </c>
      <c r="I579" t="str">
        <f t="shared" ref="I579:I642" si="19">TEXT(G579, "mmmm")</f>
        <v>February</v>
      </c>
    </row>
    <row r="580" spans="1:9" x14ac:dyDescent="0.3">
      <c r="A580" t="s">
        <v>614</v>
      </c>
      <c r="B580" t="s">
        <v>31</v>
      </c>
      <c r="C580" t="s">
        <v>13</v>
      </c>
      <c r="D580">
        <v>2</v>
      </c>
      <c r="E580">
        <v>17751.53</v>
      </c>
      <c r="F580" t="s">
        <v>14</v>
      </c>
      <c r="G580" s="1">
        <v>46165</v>
      </c>
      <c r="H580">
        <f t="shared" si="18"/>
        <v>35503.06</v>
      </c>
      <c r="I580" t="str">
        <f t="shared" si="19"/>
        <v>May</v>
      </c>
    </row>
    <row r="581" spans="1:9" x14ac:dyDescent="0.3">
      <c r="A581" t="s">
        <v>615</v>
      </c>
      <c r="B581" t="s">
        <v>80</v>
      </c>
      <c r="C581" t="s">
        <v>39</v>
      </c>
      <c r="D581">
        <v>4</v>
      </c>
      <c r="E581">
        <v>3866.77</v>
      </c>
      <c r="F581" t="s">
        <v>18</v>
      </c>
      <c r="G581" s="1">
        <v>46113</v>
      </c>
      <c r="H581">
        <f t="shared" si="18"/>
        <v>15467.08</v>
      </c>
      <c r="I581" t="str">
        <f t="shared" si="19"/>
        <v>April</v>
      </c>
    </row>
    <row r="582" spans="1:9" x14ac:dyDescent="0.3">
      <c r="A582" t="s">
        <v>616</v>
      </c>
      <c r="B582" t="s">
        <v>80</v>
      </c>
      <c r="C582" t="s">
        <v>39</v>
      </c>
      <c r="D582">
        <v>1</v>
      </c>
      <c r="E582">
        <v>4281.42</v>
      </c>
      <c r="F582" t="s">
        <v>32</v>
      </c>
      <c r="G582" s="1">
        <v>46121</v>
      </c>
      <c r="H582">
        <f t="shared" si="18"/>
        <v>4281.42</v>
      </c>
      <c r="I582" t="str">
        <f t="shared" si="19"/>
        <v>April</v>
      </c>
    </row>
    <row r="583" spans="1:9" x14ac:dyDescent="0.3">
      <c r="A583" t="s">
        <v>617</v>
      </c>
      <c r="B583" t="s">
        <v>91</v>
      </c>
      <c r="C583" t="s">
        <v>13</v>
      </c>
      <c r="D583">
        <v>3</v>
      </c>
      <c r="E583">
        <v>54051.91</v>
      </c>
      <c r="F583" t="s">
        <v>18</v>
      </c>
      <c r="G583" s="1">
        <v>46166</v>
      </c>
      <c r="H583">
        <f t="shared" si="18"/>
        <v>162155.73000000001</v>
      </c>
      <c r="I583" t="str">
        <f t="shared" si="19"/>
        <v>May</v>
      </c>
    </row>
    <row r="584" spans="1:9" x14ac:dyDescent="0.3">
      <c r="A584" t="s">
        <v>618</v>
      </c>
      <c r="B584" t="s">
        <v>12</v>
      </c>
      <c r="C584" t="s">
        <v>13</v>
      </c>
      <c r="D584">
        <v>5</v>
      </c>
      <c r="E584">
        <v>1506.33</v>
      </c>
      <c r="F584" t="s">
        <v>48</v>
      </c>
      <c r="G584" s="1">
        <v>46066</v>
      </c>
      <c r="H584">
        <f t="shared" si="18"/>
        <v>7531.65</v>
      </c>
      <c r="I584" t="str">
        <f t="shared" si="19"/>
        <v>February</v>
      </c>
    </row>
    <row r="585" spans="1:9" x14ac:dyDescent="0.3">
      <c r="A585" t="s">
        <v>619</v>
      </c>
      <c r="B585" t="s">
        <v>72</v>
      </c>
      <c r="C585" t="s">
        <v>13</v>
      </c>
      <c r="D585">
        <v>3</v>
      </c>
      <c r="E585">
        <v>2112.5</v>
      </c>
      <c r="F585" t="s">
        <v>22</v>
      </c>
      <c r="G585" s="1">
        <v>46060</v>
      </c>
      <c r="H585">
        <f t="shared" si="18"/>
        <v>6337.5</v>
      </c>
      <c r="I585" t="str">
        <f t="shared" si="19"/>
        <v>February</v>
      </c>
    </row>
    <row r="586" spans="1:9" x14ac:dyDescent="0.3">
      <c r="A586" t="s">
        <v>620</v>
      </c>
      <c r="B586" t="s">
        <v>31</v>
      </c>
      <c r="C586" t="s">
        <v>13</v>
      </c>
      <c r="D586">
        <v>2</v>
      </c>
      <c r="E586">
        <v>17764.830000000002</v>
      </c>
      <c r="F586" t="s">
        <v>48</v>
      </c>
      <c r="G586" s="1">
        <v>46099</v>
      </c>
      <c r="H586">
        <f t="shared" si="18"/>
        <v>35529.660000000003</v>
      </c>
      <c r="I586" t="str">
        <f t="shared" si="19"/>
        <v>March</v>
      </c>
    </row>
    <row r="587" spans="1:9" x14ac:dyDescent="0.3">
      <c r="A587" t="s">
        <v>621</v>
      </c>
      <c r="B587" t="s">
        <v>44</v>
      </c>
      <c r="C587" t="s">
        <v>39</v>
      </c>
      <c r="D587">
        <v>1</v>
      </c>
      <c r="E587">
        <v>3402.79</v>
      </c>
      <c r="F587" t="s">
        <v>29</v>
      </c>
      <c r="G587" s="1">
        <v>46183</v>
      </c>
      <c r="H587">
        <f t="shared" si="18"/>
        <v>3402.79</v>
      </c>
      <c r="I587" t="str">
        <f t="shared" si="19"/>
        <v>June</v>
      </c>
    </row>
    <row r="588" spans="1:9" x14ac:dyDescent="0.3">
      <c r="A588" t="s">
        <v>622</v>
      </c>
      <c r="B588" t="s">
        <v>44</v>
      </c>
      <c r="C588" t="s">
        <v>39</v>
      </c>
      <c r="D588">
        <v>5</v>
      </c>
      <c r="E588">
        <v>3581.67</v>
      </c>
      <c r="F588" t="s">
        <v>22</v>
      </c>
      <c r="G588" s="1">
        <v>46050</v>
      </c>
      <c r="H588">
        <f t="shared" si="18"/>
        <v>17908.349999999999</v>
      </c>
      <c r="I588" t="str">
        <f t="shared" si="19"/>
        <v>January</v>
      </c>
    </row>
    <row r="589" spans="1:9" x14ac:dyDescent="0.3">
      <c r="A589" t="s">
        <v>623</v>
      </c>
      <c r="B589" t="s">
        <v>72</v>
      </c>
      <c r="C589" t="s">
        <v>13</v>
      </c>
      <c r="D589">
        <v>3</v>
      </c>
      <c r="E589">
        <v>1982.98</v>
      </c>
      <c r="F589" t="s">
        <v>48</v>
      </c>
      <c r="G589" s="1">
        <v>46108</v>
      </c>
      <c r="H589">
        <f t="shared" si="18"/>
        <v>5948.9400000000005</v>
      </c>
      <c r="I589" t="str">
        <f t="shared" si="19"/>
        <v>March</v>
      </c>
    </row>
    <row r="590" spans="1:9" x14ac:dyDescent="0.3">
      <c r="A590" t="s">
        <v>624</v>
      </c>
      <c r="B590" t="s">
        <v>38</v>
      </c>
      <c r="C590" t="s">
        <v>39</v>
      </c>
      <c r="D590">
        <v>5</v>
      </c>
      <c r="E590">
        <v>6343.86</v>
      </c>
      <c r="F590" t="s">
        <v>32</v>
      </c>
      <c r="G590" s="1">
        <v>46135</v>
      </c>
      <c r="H590">
        <f t="shared" si="18"/>
        <v>31719.3</v>
      </c>
      <c r="I590" t="str">
        <f t="shared" si="19"/>
        <v>April</v>
      </c>
    </row>
    <row r="591" spans="1:9" x14ac:dyDescent="0.3">
      <c r="A591" t="s">
        <v>625</v>
      </c>
      <c r="B591" t="s">
        <v>55</v>
      </c>
      <c r="C591" t="s">
        <v>25</v>
      </c>
      <c r="D591">
        <v>4</v>
      </c>
      <c r="E591">
        <v>2656.67</v>
      </c>
      <c r="F591" t="s">
        <v>50</v>
      </c>
      <c r="G591" s="1">
        <v>46057</v>
      </c>
      <c r="H591">
        <f t="shared" si="18"/>
        <v>10626.68</v>
      </c>
      <c r="I591" t="str">
        <f t="shared" si="19"/>
        <v>February</v>
      </c>
    </row>
    <row r="592" spans="1:9" x14ac:dyDescent="0.3">
      <c r="A592" t="s">
        <v>626</v>
      </c>
      <c r="B592" t="s">
        <v>24</v>
      </c>
      <c r="C592" t="s">
        <v>25</v>
      </c>
      <c r="D592">
        <v>3</v>
      </c>
      <c r="E592">
        <v>815.49</v>
      </c>
      <c r="F592" t="s">
        <v>29</v>
      </c>
      <c r="G592" s="1">
        <v>46145</v>
      </c>
      <c r="H592">
        <f t="shared" si="18"/>
        <v>2446.4700000000003</v>
      </c>
      <c r="I592" t="str">
        <f t="shared" si="19"/>
        <v>May</v>
      </c>
    </row>
    <row r="593" spans="1:9" x14ac:dyDescent="0.3">
      <c r="A593" t="s">
        <v>627</v>
      </c>
      <c r="B593" t="s">
        <v>55</v>
      </c>
      <c r="C593" t="s">
        <v>25</v>
      </c>
      <c r="D593">
        <v>2</v>
      </c>
      <c r="E593">
        <v>2731.19</v>
      </c>
      <c r="F593" t="s">
        <v>32</v>
      </c>
      <c r="G593" s="1">
        <v>46097</v>
      </c>
      <c r="H593">
        <f t="shared" si="18"/>
        <v>5462.38</v>
      </c>
      <c r="I593" t="str">
        <f t="shared" si="19"/>
        <v>March</v>
      </c>
    </row>
    <row r="594" spans="1:9" x14ac:dyDescent="0.3">
      <c r="A594" t="s">
        <v>628</v>
      </c>
      <c r="B594" t="s">
        <v>21</v>
      </c>
      <c r="C594" t="s">
        <v>13</v>
      </c>
      <c r="D594">
        <v>4</v>
      </c>
      <c r="E594">
        <v>30619.47</v>
      </c>
      <c r="F594" t="s">
        <v>29</v>
      </c>
      <c r="G594" s="1">
        <v>46106</v>
      </c>
      <c r="H594">
        <f t="shared" si="18"/>
        <v>122477.88</v>
      </c>
      <c r="I594" t="str">
        <f t="shared" si="19"/>
        <v>March</v>
      </c>
    </row>
    <row r="595" spans="1:9" x14ac:dyDescent="0.3">
      <c r="A595" t="s">
        <v>629</v>
      </c>
      <c r="B595" t="s">
        <v>28</v>
      </c>
      <c r="C595" t="s">
        <v>9</v>
      </c>
      <c r="D595">
        <v>3</v>
      </c>
      <c r="E595">
        <v>5315.43</v>
      </c>
      <c r="F595" t="s">
        <v>48</v>
      </c>
      <c r="G595" s="1">
        <v>46116</v>
      </c>
      <c r="H595">
        <f t="shared" si="18"/>
        <v>15946.29</v>
      </c>
      <c r="I595" t="str">
        <f t="shared" si="19"/>
        <v>April</v>
      </c>
    </row>
    <row r="596" spans="1:9" x14ac:dyDescent="0.3">
      <c r="A596" t="s">
        <v>630</v>
      </c>
      <c r="B596" t="s">
        <v>31</v>
      </c>
      <c r="C596" t="s">
        <v>13</v>
      </c>
      <c r="D596">
        <v>5</v>
      </c>
      <c r="E596">
        <v>16919.28</v>
      </c>
      <c r="F596" t="s">
        <v>14</v>
      </c>
      <c r="G596" s="1">
        <v>46069</v>
      </c>
      <c r="H596">
        <f t="shared" si="18"/>
        <v>84596.4</v>
      </c>
      <c r="I596" t="str">
        <f t="shared" si="19"/>
        <v>February</v>
      </c>
    </row>
    <row r="597" spans="1:9" x14ac:dyDescent="0.3">
      <c r="A597" t="s">
        <v>631</v>
      </c>
      <c r="B597" t="s">
        <v>8</v>
      </c>
      <c r="C597" t="s">
        <v>9</v>
      </c>
      <c r="D597">
        <v>5</v>
      </c>
      <c r="E597">
        <v>1629.69</v>
      </c>
      <c r="F597" t="s">
        <v>22</v>
      </c>
      <c r="G597" s="1">
        <v>46076</v>
      </c>
      <c r="H597">
        <f t="shared" si="18"/>
        <v>8148.4500000000007</v>
      </c>
      <c r="I597" t="str">
        <f t="shared" si="19"/>
        <v>February</v>
      </c>
    </row>
    <row r="598" spans="1:9" x14ac:dyDescent="0.3">
      <c r="A598" t="s">
        <v>632</v>
      </c>
      <c r="B598" t="s">
        <v>44</v>
      </c>
      <c r="C598" t="s">
        <v>39</v>
      </c>
      <c r="D598">
        <v>3</v>
      </c>
      <c r="E598">
        <v>3731.9</v>
      </c>
      <c r="F598" t="s">
        <v>18</v>
      </c>
      <c r="G598" s="1">
        <v>46127</v>
      </c>
      <c r="H598">
        <f t="shared" si="18"/>
        <v>11195.7</v>
      </c>
      <c r="I598" t="str">
        <f t="shared" si="19"/>
        <v>April</v>
      </c>
    </row>
    <row r="599" spans="1:9" x14ac:dyDescent="0.3">
      <c r="A599" t="s">
        <v>633</v>
      </c>
      <c r="B599" t="s">
        <v>8</v>
      </c>
      <c r="C599" t="s">
        <v>9</v>
      </c>
      <c r="D599">
        <v>4</v>
      </c>
      <c r="E599">
        <v>1670.1</v>
      </c>
      <c r="F599" t="s">
        <v>10</v>
      </c>
      <c r="G599" s="1">
        <v>46084</v>
      </c>
      <c r="H599">
        <f t="shared" si="18"/>
        <v>6680.4</v>
      </c>
      <c r="I599" t="str">
        <f t="shared" si="19"/>
        <v>March</v>
      </c>
    </row>
    <row r="600" spans="1:9" x14ac:dyDescent="0.3">
      <c r="A600" t="s">
        <v>634</v>
      </c>
      <c r="B600" t="s">
        <v>24</v>
      </c>
      <c r="C600" t="s">
        <v>25</v>
      </c>
      <c r="D600">
        <v>2</v>
      </c>
      <c r="E600">
        <v>833.39</v>
      </c>
      <c r="F600" t="s">
        <v>48</v>
      </c>
      <c r="G600" s="1">
        <v>46041</v>
      </c>
      <c r="H600">
        <f t="shared" si="18"/>
        <v>1666.78</v>
      </c>
      <c r="I600" t="str">
        <f t="shared" si="19"/>
        <v>January</v>
      </c>
    </row>
    <row r="601" spans="1:9" x14ac:dyDescent="0.3">
      <c r="A601" t="s">
        <v>635</v>
      </c>
      <c r="B601" t="s">
        <v>44</v>
      </c>
      <c r="C601" t="s">
        <v>39</v>
      </c>
      <c r="D601">
        <v>5</v>
      </c>
      <c r="E601">
        <v>3485.46</v>
      </c>
      <c r="F601" t="s">
        <v>48</v>
      </c>
      <c r="G601" s="1">
        <v>46159</v>
      </c>
      <c r="H601">
        <f t="shared" si="18"/>
        <v>17427.3</v>
      </c>
      <c r="I601" t="str">
        <f t="shared" si="19"/>
        <v>May</v>
      </c>
    </row>
    <row r="602" spans="1:9" x14ac:dyDescent="0.3">
      <c r="A602" t="s">
        <v>636</v>
      </c>
      <c r="B602" t="s">
        <v>80</v>
      </c>
      <c r="C602" t="s">
        <v>39</v>
      </c>
      <c r="D602">
        <v>4</v>
      </c>
      <c r="E602">
        <v>4236.66</v>
      </c>
      <c r="F602" t="s">
        <v>32</v>
      </c>
      <c r="G602" s="1">
        <v>46202</v>
      </c>
      <c r="H602">
        <f t="shared" si="18"/>
        <v>16946.64</v>
      </c>
      <c r="I602" t="str">
        <f t="shared" si="19"/>
        <v>June</v>
      </c>
    </row>
    <row r="603" spans="1:9" x14ac:dyDescent="0.3">
      <c r="A603" t="s">
        <v>637</v>
      </c>
      <c r="B603" t="s">
        <v>62</v>
      </c>
      <c r="C603" t="s">
        <v>25</v>
      </c>
      <c r="D603">
        <v>5</v>
      </c>
      <c r="E603">
        <v>2036.51</v>
      </c>
      <c r="F603" t="s">
        <v>18</v>
      </c>
      <c r="G603" s="1">
        <v>46050</v>
      </c>
      <c r="H603">
        <f t="shared" si="18"/>
        <v>10182.549999999999</v>
      </c>
      <c r="I603" t="str">
        <f t="shared" si="19"/>
        <v>January</v>
      </c>
    </row>
    <row r="604" spans="1:9" x14ac:dyDescent="0.3">
      <c r="A604" t="s">
        <v>638</v>
      </c>
      <c r="B604" t="s">
        <v>62</v>
      </c>
      <c r="C604" t="s">
        <v>25</v>
      </c>
      <c r="D604">
        <v>2</v>
      </c>
      <c r="E604">
        <v>2062.0100000000002</v>
      </c>
      <c r="F604" t="s">
        <v>32</v>
      </c>
      <c r="G604" s="1">
        <v>46065</v>
      </c>
      <c r="H604">
        <f t="shared" si="18"/>
        <v>4124.0200000000004</v>
      </c>
      <c r="I604" t="str">
        <f t="shared" si="19"/>
        <v>February</v>
      </c>
    </row>
    <row r="605" spans="1:9" x14ac:dyDescent="0.3">
      <c r="A605" t="s">
        <v>639</v>
      </c>
      <c r="B605" t="s">
        <v>8</v>
      </c>
      <c r="C605" t="s">
        <v>9</v>
      </c>
      <c r="D605">
        <v>5</v>
      </c>
      <c r="E605">
        <v>1635.95</v>
      </c>
      <c r="F605" t="s">
        <v>48</v>
      </c>
      <c r="G605" s="1">
        <v>46107</v>
      </c>
      <c r="H605">
        <f t="shared" si="18"/>
        <v>8179.75</v>
      </c>
      <c r="I605" t="str">
        <f t="shared" si="19"/>
        <v>March</v>
      </c>
    </row>
    <row r="606" spans="1:9" x14ac:dyDescent="0.3">
      <c r="A606" t="s">
        <v>640</v>
      </c>
      <c r="B606" t="s">
        <v>62</v>
      </c>
      <c r="C606" t="s">
        <v>25</v>
      </c>
      <c r="D606">
        <v>4</v>
      </c>
      <c r="E606">
        <v>1841.46</v>
      </c>
      <c r="F606" t="s">
        <v>18</v>
      </c>
      <c r="G606" s="1">
        <v>46089</v>
      </c>
      <c r="H606">
        <f t="shared" si="18"/>
        <v>7365.84</v>
      </c>
      <c r="I606" t="str">
        <f t="shared" si="19"/>
        <v>March</v>
      </c>
    </row>
    <row r="607" spans="1:9" x14ac:dyDescent="0.3">
      <c r="A607" t="s">
        <v>641</v>
      </c>
      <c r="B607" t="s">
        <v>12</v>
      </c>
      <c r="C607" t="s">
        <v>13</v>
      </c>
      <c r="D607">
        <v>5</v>
      </c>
      <c r="E607">
        <v>1574.06</v>
      </c>
      <c r="F607" t="s">
        <v>14</v>
      </c>
      <c r="G607" s="1">
        <v>46171</v>
      </c>
      <c r="H607">
        <f t="shared" si="18"/>
        <v>7870.2999999999993</v>
      </c>
      <c r="I607" t="str">
        <f t="shared" si="19"/>
        <v>May</v>
      </c>
    </row>
    <row r="608" spans="1:9" x14ac:dyDescent="0.3">
      <c r="A608" t="s">
        <v>642</v>
      </c>
      <c r="B608" t="s">
        <v>21</v>
      </c>
      <c r="C608" t="s">
        <v>13</v>
      </c>
      <c r="D608">
        <v>5</v>
      </c>
      <c r="E608">
        <v>26437.78</v>
      </c>
      <c r="F608" t="s">
        <v>32</v>
      </c>
      <c r="G608" s="1">
        <v>46123</v>
      </c>
      <c r="H608">
        <f t="shared" si="18"/>
        <v>132188.9</v>
      </c>
      <c r="I608" t="str">
        <f t="shared" si="19"/>
        <v>April</v>
      </c>
    </row>
    <row r="609" spans="1:9" x14ac:dyDescent="0.3">
      <c r="A609" t="s">
        <v>643</v>
      </c>
      <c r="B609" t="s">
        <v>44</v>
      </c>
      <c r="C609" t="s">
        <v>39</v>
      </c>
      <c r="D609">
        <v>5</v>
      </c>
      <c r="E609">
        <v>3633.31</v>
      </c>
      <c r="F609" t="s">
        <v>26</v>
      </c>
      <c r="G609" s="1">
        <v>46111</v>
      </c>
      <c r="H609">
        <f t="shared" si="18"/>
        <v>18166.55</v>
      </c>
      <c r="I609" t="str">
        <f t="shared" si="19"/>
        <v>March</v>
      </c>
    </row>
    <row r="610" spans="1:9" x14ac:dyDescent="0.3">
      <c r="A610" t="s">
        <v>644</v>
      </c>
      <c r="B610" t="s">
        <v>91</v>
      </c>
      <c r="C610" t="s">
        <v>13</v>
      </c>
      <c r="D610">
        <v>4</v>
      </c>
      <c r="E610">
        <v>50650.04</v>
      </c>
      <c r="F610" t="s">
        <v>48</v>
      </c>
      <c r="G610" s="1">
        <v>46044</v>
      </c>
      <c r="H610">
        <f t="shared" si="18"/>
        <v>202600.16</v>
      </c>
      <c r="I610" t="str">
        <f t="shared" si="19"/>
        <v>January</v>
      </c>
    </row>
    <row r="611" spans="1:9" x14ac:dyDescent="0.3">
      <c r="A611" t="s">
        <v>645</v>
      </c>
      <c r="B611" t="s">
        <v>31</v>
      </c>
      <c r="C611" t="s">
        <v>13</v>
      </c>
      <c r="D611">
        <v>2</v>
      </c>
      <c r="E611">
        <v>17453.98</v>
      </c>
      <c r="F611" t="s">
        <v>32</v>
      </c>
      <c r="G611" s="1">
        <v>46139</v>
      </c>
      <c r="H611">
        <f t="shared" si="18"/>
        <v>34907.96</v>
      </c>
      <c r="I611" t="str">
        <f t="shared" si="19"/>
        <v>April</v>
      </c>
    </row>
    <row r="612" spans="1:9" x14ac:dyDescent="0.3">
      <c r="A612" t="s">
        <v>646</v>
      </c>
      <c r="B612" t="s">
        <v>62</v>
      </c>
      <c r="C612" t="s">
        <v>25</v>
      </c>
      <c r="D612">
        <v>2</v>
      </c>
      <c r="E612">
        <v>2007.44</v>
      </c>
      <c r="F612" t="s">
        <v>32</v>
      </c>
      <c r="G612" s="1">
        <v>46144</v>
      </c>
      <c r="H612">
        <f t="shared" si="18"/>
        <v>4014.88</v>
      </c>
      <c r="I612" t="str">
        <f t="shared" si="19"/>
        <v>May</v>
      </c>
    </row>
    <row r="613" spans="1:9" x14ac:dyDescent="0.3">
      <c r="A613" t="s">
        <v>647</v>
      </c>
      <c r="B613" t="s">
        <v>31</v>
      </c>
      <c r="C613" t="s">
        <v>13</v>
      </c>
      <c r="D613">
        <v>4</v>
      </c>
      <c r="E613">
        <v>18799.18</v>
      </c>
      <c r="F613" t="s">
        <v>22</v>
      </c>
      <c r="G613" s="1">
        <v>46104</v>
      </c>
      <c r="H613">
        <f t="shared" si="18"/>
        <v>75196.72</v>
      </c>
      <c r="I613" t="str">
        <f t="shared" si="19"/>
        <v>March</v>
      </c>
    </row>
    <row r="614" spans="1:9" x14ac:dyDescent="0.3">
      <c r="A614" t="s">
        <v>648</v>
      </c>
      <c r="B614" t="s">
        <v>31</v>
      </c>
      <c r="C614" t="s">
        <v>13</v>
      </c>
      <c r="D614">
        <v>3</v>
      </c>
      <c r="E614">
        <v>16360.86</v>
      </c>
      <c r="F614" t="s">
        <v>18</v>
      </c>
      <c r="G614" s="1">
        <v>46028</v>
      </c>
      <c r="H614">
        <f t="shared" si="18"/>
        <v>49082.58</v>
      </c>
      <c r="I614" t="str">
        <f t="shared" si="19"/>
        <v>January</v>
      </c>
    </row>
    <row r="615" spans="1:9" x14ac:dyDescent="0.3">
      <c r="A615" t="s">
        <v>649</v>
      </c>
      <c r="B615" t="s">
        <v>38</v>
      </c>
      <c r="C615" t="s">
        <v>39</v>
      </c>
      <c r="D615">
        <v>3</v>
      </c>
      <c r="E615">
        <v>6692.36</v>
      </c>
      <c r="F615" t="s">
        <v>26</v>
      </c>
      <c r="G615" s="1">
        <v>46085</v>
      </c>
      <c r="H615">
        <f t="shared" si="18"/>
        <v>20077.079999999998</v>
      </c>
      <c r="I615" t="str">
        <f t="shared" si="19"/>
        <v>March</v>
      </c>
    </row>
    <row r="616" spans="1:9" x14ac:dyDescent="0.3">
      <c r="A616" t="s">
        <v>650</v>
      </c>
      <c r="B616" t="s">
        <v>80</v>
      </c>
      <c r="C616" t="s">
        <v>39</v>
      </c>
      <c r="D616">
        <v>2</v>
      </c>
      <c r="E616">
        <v>4243.6000000000004</v>
      </c>
      <c r="F616" t="s">
        <v>32</v>
      </c>
      <c r="G616" s="1">
        <v>46166</v>
      </c>
      <c r="H616">
        <f t="shared" si="18"/>
        <v>8487.2000000000007</v>
      </c>
      <c r="I616" t="str">
        <f t="shared" si="19"/>
        <v>May</v>
      </c>
    </row>
    <row r="617" spans="1:9" x14ac:dyDescent="0.3">
      <c r="A617" t="s">
        <v>651</v>
      </c>
      <c r="B617" t="s">
        <v>28</v>
      </c>
      <c r="C617" t="s">
        <v>9</v>
      </c>
      <c r="D617">
        <v>4</v>
      </c>
      <c r="E617">
        <v>4730.91</v>
      </c>
      <c r="F617" t="s">
        <v>48</v>
      </c>
      <c r="G617" s="1">
        <v>46184</v>
      </c>
      <c r="H617">
        <f t="shared" si="18"/>
        <v>18923.64</v>
      </c>
      <c r="I617" t="str">
        <f t="shared" si="19"/>
        <v>June</v>
      </c>
    </row>
    <row r="618" spans="1:9" x14ac:dyDescent="0.3">
      <c r="A618" t="s">
        <v>652</v>
      </c>
      <c r="B618" t="s">
        <v>72</v>
      </c>
      <c r="C618" t="s">
        <v>13</v>
      </c>
      <c r="D618">
        <v>2</v>
      </c>
      <c r="E618">
        <v>2261.81</v>
      </c>
      <c r="F618" t="s">
        <v>48</v>
      </c>
      <c r="G618" s="1">
        <v>46124</v>
      </c>
      <c r="H618">
        <f t="shared" si="18"/>
        <v>4523.62</v>
      </c>
      <c r="I618" t="str">
        <f t="shared" si="19"/>
        <v>April</v>
      </c>
    </row>
    <row r="619" spans="1:9" x14ac:dyDescent="0.3">
      <c r="A619" t="s">
        <v>653</v>
      </c>
      <c r="B619" t="s">
        <v>91</v>
      </c>
      <c r="C619" t="s">
        <v>13</v>
      </c>
      <c r="D619">
        <v>5</v>
      </c>
      <c r="E619">
        <v>59214.07</v>
      </c>
      <c r="F619" t="s">
        <v>22</v>
      </c>
      <c r="G619" s="1">
        <v>46174</v>
      </c>
      <c r="H619">
        <f t="shared" si="18"/>
        <v>296070.34999999998</v>
      </c>
      <c r="I619" t="str">
        <f t="shared" si="19"/>
        <v>June</v>
      </c>
    </row>
    <row r="620" spans="1:9" x14ac:dyDescent="0.3">
      <c r="A620" t="s">
        <v>654</v>
      </c>
      <c r="B620" t="s">
        <v>28</v>
      </c>
      <c r="C620" t="s">
        <v>9</v>
      </c>
      <c r="D620">
        <v>4</v>
      </c>
      <c r="E620">
        <v>4503.55</v>
      </c>
      <c r="F620" t="s">
        <v>29</v>
      </c>
      <c r="G620" s="1">
        <v>46075</v>
      </c>
      <c r="H620">
        <f t="shared" si="18"/>
        <v>18014.2</v>
      </c>
      <c r="I620" t="str">
        <f t="shared" si="19"/>
        <v>February</v>
      </c>
    </row>
    <row r="621" spans="1:9" x14ac:dyDescent="0.3">
      <c r="A621" t="s">
        <v>655</v>
      </c>
      <c r="B621" t="s">
        <v>24</v>
      </c>
      <c r="C621" t="s">
        <v>25</v>
      </c>
      <c r="D621">
        <v>1</v>
      </c>
      <c r="E621">
        <v>811.36</v>
      </c>
      <c r="F621" t="s">
        <v>14</v>
      </c>
      <c r="G621" s="1">
        <v>46070</v>
      </c>
      <c r="H621">
        <f t="shared" si="18"/>
        <v>811.36</v>
      </c>
      <c r="I621" t="str">
        <f t="shared" si="19"/>
        <v>February</v>
      </c>
    </row>
    <row r="622" spans="1:9" x14ac:dyDescent="0.3">
      <c r="A622" t="s">
        <v>656</v>
      </c>
      <c r="B622" t="s">
        <v>55</v>
      </c>
      <c r="C622" t="s">
        <v>25</v>
      </c>
      <c r="D622">
        <v>3</v>
      </c>
      <c r="E622">
        <v>2347.6</v>
      </c>
      <c r="F622" t="s">
        <v>18</v>
      </c>
      <c r="G622" s="1">
        <v>46090</v>
      </c>
      <c r="H622">
        <f t="shared" si="18"/>
        <v>7042.7999999999993</v>
      </c>
      <c r="I622" t="str">
        <f t="shared" si="19"/>
        <v>March</v>
      </c>
    </row>
    <row r="623" spans="1:9" x14ac:dyDescent="0.3">
      <c r="A623" t="s">
        <v>657</v>
      </c>
      <c r="B623" t="s">
        <v>8</v>
      </c>
      <c r="C623" t="s">
        <v>9</v>
      </c>
      <c r="D623">
        <v>4</v>
      </c>
      <c r="E623">
        <v>1809.98</v>
      </c>
      <c r="F623" t="s">
        <v>32</v>
      </c>
      <c r="G623" s="1">
        <v>46175</v>
      </c>
      <c r="H623">
        <f t="shared" si="18"/>
        <v>7239.92</v>
      </c>
      <c r="I623" t="str">
        <f t="shared" si="19"/>
        <v>June</v>
      </c>
    </row>
    <row r="624" spans="1:9" x14ac:dyDescent="0.3">
      <c r="A624" t="s">
        <v>658</v>
      </c>
      <c r="B624" t="s">
        <v>28</v>
      </c>
      <c r="C624" t="s">
        <v>9</v>
      </c>
      <c r="D624">
        <v>5</v>
      </c>
      <c r="E624">
        <v>4891.57</v>
      </c>
      <c r="F624" t="s">
        <v>18</v>
      </c>
      <c r="G624" s="1">
        <v>46112</v>
      </c>
      <c r="H624">
        <f t="shared" si="18"/>
        <v>24457.85</v>
      </c>
      <c r="I624" t="str">
        <f t="shared" si="19"/>
        <v>March</v>
      </c>
    </row>
    <row r="625" spans="1:9" x14ac:dyDescent="0.3">
      <c r="A625" t="s">
        <v>659</v>
      </c>
      <c r="B625" t="s">
        <v>55</v>
      </c>
      <c r="C625" t="s">
        <v>25</v>
      </c>
      <c r="D625">
        <v>4</v>
      </c>
      <c r="E625">
        <v>2557.66</v>
      </c>
      <c r="F625" t="s">
        <v>10</v>
      </c>
      <c r="G625" s="1">
        <v>46180</v>
      </c>
      <c r="H625">
        <f t="shared" si="18"/>
        <v>10230.64</v>
      </c>
      <c r="I625" t="str">
        <f t="shared" si="19"/>
        <v>June</v>
      </c>
    </row>
    <row r="626" spans="1:9" x14ac:dyDescent="0.3">
      <c r="A626" t="s">
        <v>660</v>
      </c>
      <c r="B626" t="s">
        <v>16</v>
      </c>
      <c r="C626" t="s">
        <v>17</v>
      </c>
      <c r="D626">
        <v>1</v>
      </c>
      <c r="E626">
        <v>465.49</v>
      </c>
      <c r="F626" t="s">
        <v>32</v>
      </c>
      <c r="G626" s="1">
        <v>46053</v>
      </c>
      <c r="H626">
        <f t="shared" si="18"/>
        <v>465.49</v>
      </c>
      <c r="I626" t="str">
        <f t="shared" si="19"/>
        <v>January</v>
      </c>
    </row>
    <row r="627" spans="1:9" x14ac:dyDescent="0.3">
      <c r="A627" t="s">
        <v>661</v>
      </c>
      <c r="B627" t="s">
        <v>12</v>
      </c>
      <c r="C627" t="s">
        <v>13</v>
      </c>
      <c r="D627">
        <v>3</v>
      </c>
      <c r="E627">
        <v>1385.08</v>
      </c>
      <c r="F627" t="s">
        <v>32</v>
      </c>
      <c r="G627" s="1">
        <v>46200</v>
      </c>
      <c r="H627">
        <f t="shared" si="18"/>
        <v>4155.24</v>
      </c>
      <c r="I627" t="str">
        <f t="shared" si="19"/>
        <v>June</v>
      </c>
    </row>
    <row r="628" spans="1:9" x14ac:dyDescent="0.3">
      <c r="A628" t="s">
        <v>662</v>
      </c>
      <c r="B628" t="s">
        <v>72</v>
      </c>
      <c r="C628" t="s">
        <v>13</v>
      </c>
      <c r="D628">
        <v>5</v>
      </c>
      <c r="E628">
        <v>2150.92</v>
      </c>
      <c r="F628" t="s">
        <v>50</v>
      </c>
      <c r="G628" s="1">
        <v>46058</v>
      </c>
      <c r="H628">
        <f t="shared" si="18"/>
        <v>10754.6</v>
      </c>
      <c r="I628" t="str">
        <f t="shared" si="19"/>
        <v>February</v>
      </c>
    </row>
    <row r="629" spans="1:9" x14ac:dyDescent="0.3">
      <c r="A629" t="s">
        <v>663</v>
      </c>
      <c r="B629" t="s">
        <v>16</v>
      </c>
      <c r="C629" t="s">
        <v>17</v>
      </c>
      <c r="D629">
        <v>4</v>
      </c>
      <c r="E629">
        <v>443.07</v>
      </c>
      <c r="F629" t="s">
        <v>22</v>
      </c>
      <c r="G629" s="1">
        <v>46185</v>
      </c>
      <c r="H629">
        <f t="shared" si="18"/>
        <v>1772.28</v>
      </c>
      <c r="I629" t="str">
        <f t="shared" si="19"/>
        <v>June</v>
      </c>
    </row>
    <row r="630" spans="1:9" x14ac:dyDescent="0.3">
      <c r="A630" t="s">
        <v>664</v>
      </c>
      <c r="B630" t="s">
        <v>80</v>
      </c>
      <c r="C630" t="s">
        <v>39</v>
      </c>
      <c r="D630">
        <v>2</v>
      </c>
      <c r="E630">
        <v>4246.13</v>
      </c>
      <c r="F630" t="s">
        <v>22</v>
      </c>
      <c r="G630" s="1">
        <v>46096</v>
      </c>
      <c r="H630">
        <f t="shared" si="18"/>
        <v>8492.26</v>
      </c>
      <c r="I630" t="str">
        <f t="shared" si="19"/>
        <v>March</v>
      </c>
    </row>
    <row r="631" spans="1:9" x14ac:dyDescent="0.3">
      <c r="A631" t="s">
        <v>665</v>
      </c>
      <c r="B631" t="s">
        <v>72</v>
      </c>
      <c r="C631" t="s">
        <v>13</v>
      </c>
      <c r="D631">
        <v>2</v>
      </c>
      <c r="E631">
        <v>2118.42</v>
      </c>
      <c r="F631" t="s">
        <v>22</v>
      </c>
      <c r="G631" s="1">
        <v>46181</v>
      </c>
      <c r="H631">
        <f t="shared" si="18"/>
        <v>4236.84</v>
      </c>
      <c r="I631" t="str">
        <f t="shared" si="19"/>
        <v>June</v>
      </c>
    </row>
    <row r="632" spans="1:9" x14ac:dyDescent="0.3">
      <c r="A632" t="s">
        <v>666</v>
      </c>
      <c r="B632" t="s">
        <v>91</v>
      </c>
      <c r="C632" t="s">
        <v>13</v>
      </c>
      <c r="D632">
        <v>3</v>
      </c>
      <c r="E632">
        <v>59970.26</v>
      </c>
      <c r="F632" t="s">
        <v>22</v>
      </c>
      <c r="G632" s="1">
        <v>46057</v>
      </c>
      <c r="H632">
        <f t="shared" si="18"/>
        <v>179910.78</v>
      </c>
      <c r="I632" t="str">
        <f t="shared" si="19"/>
        <v>February</v>
      </c>
    </row>
    <row r="633" spans="1:9" x14ac:dyDescent="0.3">
      <c r="A633" t="s">
        <v>667</v>
      </c>
      <c r="B633" t="s">
        <v>12</v>
      </c>
      <c r="C633" t="s">
        <v>13</v>
      </c>
      <c r="D633">
        <v>4</v>
      </c>
      <c r="E633">
        <v>1639.15</v>
      </c>
      <c r="F633" t="s">
        <v>14</v>
      </c>
      <c r="G633" s="1">
        <v>46190</v>
      </c>
      <c r="H633">
        <f t="shared" si="18"/>
        <v>6556.6</v>
      </c>
      <c r="I633" t="str">
        <f t="shared" si="19"/>
        <v>June</v>
      </c>
    </row>
    <row r="634" spans="1:9" x14ac:dyDescent="0.3">
      <c r="A634" t="s">
        <v>668</v>
      </c>
      <c r="B634" t="s">
        <v>44</v>
      </c>
      <c r="C634" t="s">
        <v>39</v>
      </c>
      <c r="D634">
        <v>4</v>
      </c>
      <c r="E634">
        <v>3629.29</v>
      </c>
      <c r="F634" t="s">
        <v>48</v>
      </c>
      <c r="G634" s="1">
        <v>46136</v>
      </c>
      <c r="H634">
        <f t="shared" si="18"/>
        <v>14517.16</v>
      </c>
      <c r="I634" t="str">
        <f t="shared" si="19"/>
        <v>April</v>
      </c>
    </row>
    <row r="635" spans="1:9" x14ac:dyDescent="0.3">
      <c r="A635" t="s">
        <v>669</v>
      </c>
      <c r="B635" t="s">
        <v>44</v>
      </c>
      <c r="C635" t="s">
        <v>39</v>
      </c>
      <c r="D635">
        <v>2</v>
      </c>
      <c r="E635">
        <v>3207.87</v>
      </c>
      <c r="F635" t="s">
        <v>46</v>
      </c>
      <c r="G635" s="1">
        <v>46079</v>
      </c>
      <c r="H635">
        <f t="shared" si="18"/>
        <v>6415.74</v>
      </c>
      <c r="I635" t="str">
        <f t="shared" si="19"/>
        <v>February</v>
      </c>
    </row>
    <row r="636" spans="1:9" x14ac:dyDescent="0.3">
      <c r="A636" t="s">
        <v>670</v>
      </c>
      <c r="B636" t="s">
        <v>24</v>
      </c>
      <c r="C636" t="s">
        <v>25</v>
      </c>
      <c r="D636">
        <v>1</v>
      </c>
      <c r="E636">
        <v>763.02</v>
      </c>
      <c r="F636" t="s">
        <v>14</v>
      </c>
      <c r="G636" s="1">
        <v>46096</v>
      </c>
      <c r="H636">
        <f t="shared" si="18"/>
        <v>763.02</v>
      </c>
      <c r="I636" t="str">
        <f t="shared" si="19"/>
        <v>March</v>
      </c>
    </row>
    <row r="637" spans="1:9" x14ac:dyDescent="0.3">
      <c r="A637" t="s">
        <v>671</v>
      </c>
      <c r="B637" t="s">
        <v>72</v>
      </c>
      <c r="C637" t="s">
        <v>13</v>
      </c>
      <c r="D637">
        <v>4</v>
      </c>
      <c r="E637">
        <v>2228.89</v>
      </c>
      <c r="F637" t="s">
        <v>22</v>
      </c>
      <c r="G637" s="1">
        <v>46163</v>
      </c>
      <c r="H637">
        <f t="shared" si="18"/>
        <v>8915.56</v>
      </c>
      <c r="I637" t="str">
        <f t="shared" si="19"/>
        <v>May</v>
      </c>
    </row>
    <row r="638" spans="1:9" x14ac:dyDescent="0.3">
      <c r="A638" t="s">
        <v>672</v>
      </c>
      <c r="B638" t="s">
        <v>80</v>
      </c>
      <c r="C638" t="s">
        <v>39</v>
      </c>
      <c r="D638">
        <v>1</v>
      </c>
      <c r="E638">
        <v>4261.08</v>
      </c>
      <c r="F638" t="s">
        <v>10</v>
      </c>
      <c r="G638" s="1">
        <v>46162</v>
      </c>
      <c r="H638">
        <f t="shared" si="18"/>
        <v>4261.08</v>
      </c>
      <c r="I638" t="str">
        <f t="shared" si="19"/>
        <v>May</v>
      </c>
    </row>
    <row r="639" spans="1:9" x14ac:dyDescent="0.3">
      <c r="A639" t="s">
        <v>673</v>
      </c>
      <c r="B639" t="s">
        <v>38</v>
      </c>
      <c r="C639" t="s">
        <v>39</v>
      </c>
      <c r="D639">
        <v>3</v>
      </c>
      <c r="E639">
        <v>6554.66</v>
      </c>
      <c r="F639" t="s">
        <v>46</v>
      </c>
      <c r="G639" s="1">
        <v>46135</v>
      </c>
      <c r="H639">
        <f t="shared" si="18"/>
        <v>19663.98</v>
      </c>
      <c r="I639" t="str">
        <f t="shared" si="19"/>
        <v>April</v>
      </c>
    </row>
    <row r="640" spans="1:9" x14ac:dyDescent="0.3">
      <c r="A640" t="s">
        <v>674</v>
      </c>
      <c r="B640" t="s">
        <v>80</v>
      </c>
      <c r="C640" t="s">
        <v>39</v>
      </c>
      <c r="D640">
        <v>2</v>
      </c>
      <c r="E640">
        <v>4611.41</v>
      </c>
      <c r="F640" t="s">
        <v>18</v>
      </c>
      <c r="G640" s="1">
        <v>46190</v>
      </c>
      <c r="H640">
        <f t="shared" si="18"/>
        <v>9222.82</v>
      </c>
      <c r="I640" t="str">
        <f t="shared" si="19"/>
        <v>June</v>
      </c>
    </row>
    <row r="641" spans="1:9" x14ac:dyDescent="0.3">
      <c r="A641" t="s">
        <v>675</v>
      </c>
      <c r="B641" t="s">
        <v>62</v>
      </c>
      <c r="C641" t="s">
        <v>25</v>
      </c>
      <c r="D641">
        <v>2</v>
      </c>
      <c r="E641">
        <v>1918.12</v>
      </c>
      <c r="F641" t="s">
        <v>46</v>
      </c>
      <c r="G641" s="1">
        <v>46138</v>
      </c>
      <c r="H641">
        <f t="shared" si="18"/>
        <v>3836.24</v>
      </c>
      <c r="I641" t="str">
        <f t="shared" si="19"/>
        <v>April</v>
      </c>
    </row>
    <row r="642" spans="1:9" x14ac:dyDescent="0.3">
      <c r="A642" t="s">
        <v>676</v>
      </c>
      <c r="B642" t="s">
        <v>24</v>
      </c>
      <c r="C642" t="s">
        <v>25</v>
      </c>
      <c r="D642">
        <v>3</v>
      </c>
      <c r="E642">
        <v>856.88</v>
      </c>
      <c r="F642" t="s">
        <v>18</v>
      </c>
      <c r="G642" s="1">
        <v>46135</v>
      </c>
      <c r="H642">
        <f t="shared" si="18"/>
        <v>2570.64</v>
      </c>
      <c r="I642" t="str">
        <f t="shared" si="19"/>
        <v>April</v>
      </c>
    </row>
    <row r="643" spans="1:9" x14ac:dyDescent="0.3">
      <c r="A643" t="s">
        <v>677</v>
      </c>
      <c r="B643" t="s">
        <v>38</v>
      </c>
      <c r="C643" t="s">
        <v>39</v>
      </c>
      <c r="D643">
        <v>1</v>
      </c>
      <c r="E643">
        <v>6858.32</v>
      </c>
      <c r="F643" t="s">
        <v>29</v>
      </c>
      <c r="G643" s="1">
        <v>46076</v>
      </c>
      <c r="H643">
        <f t="shared" ref="H643:H706" si="20">D643*E643</f>
        <v>6858.32</v>
      </c>
      <c r="I643" t="str">
        <f t="shared" ref="I643:I706" si="21">TEXT(G643, "mmmm")</f>
        <v>February</v>
      </c>
    </row>
    <row r="644" spans="1:9" x14ac:dyDescent="0.3">
      <c r="A644" t="s">
        <v>678</v>
      </c>
      <c r="B644" t="s">
        <v>62</v>
      </c>
      <c r="C644" t="s">
        <v>25</v>
      </c>
      <c r="D644">
        <v>5</v>
      </c>
      <c r="E644">
        <v>2074.62</v>
      </c>
      <c r="F644" t="s">
        <v>50</v>
      </c>
      <c r="G644" s="1">
        <v>46184</v>
      </c>
      <c r="H644">
        <f t="shared" si="20"/>
        <v>10373.099999999999</v>
      </c>
      <c r="I644" t="str">
        <f t="shared" si="21"/>
        <v>June</v>
      </c>
    </row>
    <row r="645" spans="1:9" x14ac:dyDescent="0.3">
      <c r="A645" t="s">
        <v>679</v>
      </c>
      <c r="B645" t="s">
        <v>28</v>
      </c>
      <c r="C645" t="s">
        <v>9</v>
      </c>
      <c r="D645">
        <v>2</v>
      </c>
      <c r="E645">
        <v>5115.13</v>
      </c>
      <c r="F645" t="s">
        <v>29</v>
      </c>
      <c r="G645" s="1">
        <v>46075</v>
      </c>
      <c r="H645">
        <f t="shared" si="20"/>
        <v>10230.26</v>
      </c>
      <c r="I645" t="str">
        <f t="shared" si="21"/>
        <v>February</v>
      </c>
    </row>
    <row r="646" spans="1:9" x14ac:dyDescent="0.3">
      <c r="A646" t="s">
        <v>680</v>
      </c>
      <c r="B646" t="s">
        <v>62</v>
      </c>
      <c r="C646" t="s">
        <v>25</v>
      </c>
      <c r="D646">
        <v>1</v>
      </c>
      <c r="E646">
        <v>2027.02</v>
      </c>
      <c r="F646" t="s">
        <v>14</v>
      </c>
      <c r="G646" s="1">
        <v>46094</v>
      </c>
      <c r="H646">
        <f t="shared" si="20"/>
        <v>2027.02</v>
      </c>
      <c r="I646" t="str">
        <f t="shared" si="21"/>
        <v>March</v>
      </c>
    </row>
    <row r="647" spans="1:9" x14ac:dyDescent="0.3">
      <c r="A647" t="s">
        <v>681</v>
      </c>
      <c r="B647" t="s">
        <v>16</v>
      </c>
      <c r="C647" t="s">
        <v>17</v>
      </c>
      <c r="D647">
        <v>5</v>
      </c>
      <c r="E647">
        <v>420.15</v>
      </c>
      <c r="F647" t="s">
        <v>10</v>
      </c>
      <c r="G647" s="1">
        <v>46097</v>
      </c>
      <c r="H647">
        <f t="shared" si="20"/>
        <v>2100.75</v>
      </c>
      <c r="I647" t="str">
        <f t="shared" si="21"/>
        <v>March</v>
      </c>
    </row>
    <row r="648" spans="1:9" x14ac:dyDescent="0.3">
      <c r="A648" t="s">
        <v>682</v>
      </c>
      <c r="B648" t="s">
        <v>16</v>
      </c>
      <c r="C648" t="s">
        <v>17</v>
      </c>
      <c r="D648">
        <v>3</v>
      </c>
      <c r="E648">
        <v>490.72</v>
      </c>
      <c r="F648" t="s">
        <v>14</v>
      </c>
      <c r="G648" s="1">
        <v>46196</v>
      </c>
      <c r="H648">
        <f t="shared" si="20"/>
        <v>1472.16</v>
      </c>
      <c r="I648" t="str">
        <f t="shared" si="21"/>
        <v>June</v>
      </c>
    </row>
    <row r="649" spans="1:9" x14ac:dyDescent="0.3">
      <c r="A649" t="s">
        <v>683</v>
      </c>
      <c r="B649" t="s">
        <v>38</v>
      </c>
      <c r="C649" t="s">
        <v>39</v>
      </c>
      <c r="D649">
        <v>1</v>
      </c>
      <c r="E649">
        <v>6026.27</v>
      </c>
      <c r="F649" t="s">
        <v>48</v>
      </c>
      <c r="G649" s="1">
        <v>46038</v>
      </c>
      <c r="H649">
        <f t="shared" si="20"/>
        <v>6026.27</v>
      </c>
      <c r="I649" t="str">
        <f t="shared" si="21"/>
        <v>January</v>
      </c>
    </row>
    <row r="650" spans="1:9" x14ac:dyDescent="0.3">
      <c r="A650" t="s">
        <v>684</v>
      </c>
      <c r="B650" t="s">
        <v>24</v>
      </c>
      <c r="C650" t="s">
        <v>25</v>
      </c>
      <c r="D650">
        <v>2</v>
      </c>
      <c r="E650">
        <v>831.19</v>
      </c>
      <c r="F650" t="s">
        <v>26</v>
      </c>
      <c r="G650" s="1">
        <v>46086</v>
      </c>
      <c r="H650">
        <f t="shared" si="20"/>
        <v>1662.38</v>
      </c>
      <c r="I650" t="str">
        <f t="shared" si="21"/>
        <v>March</v>
      </c>
    </row>
    <row r="651" spans="1:9" x14ac:dyDescent="0.3">
      <c r="A651" t="s">
        <v>685</v>
      </c>
      <c r="B651" t="s">
        <v>72</v>
      </c>
      <c r="C651" t="s">
        <v>13</v>
      </c>
      <c r="D651">
        <v>3</v>
      </c>
      <c r="E651">
        <v>2344.5300000000002</v>
      </c>
      <c r="F651" t="s">
        <v>48</v>
      </c>
      <c r="G651" s="1">
        <v>46148</v>
      </c>
      <c r="H651">
        <f t="shared" si="20"/>
        <v>7033.59</v>
      </c>
      <c r="I651" t="str">
        <f t="shared" si="21"/>
        <v>May</v>
      </c>
    </row>
    <row r="652" spans="1:9" x14ac:dyDescent="0.3">
      <c r="A652" t="s">
        <v>686</v>
      </c>
      <c r="B652" t="s">
        <v>72</v>
      </c>
      <c r="C652" t="s">
        <v>13</v>
      </c>
      <c r="D652">
        <v>5</v>
      </c>
      <c r="E652">
        <v>2258.2600000000002</v>
      </c>
      <c r="F652" t="s">
        <v>48</v>
      </c>
      <c r="G652" s="1">
        <v>46119</v>
      </c>
      <c r="H652">
        <f t="shared" si="20"/>
        <v>11291.300000000001</v>
      </c>
      <c r="I652" t="str">
        <f t="shared" si="21"/>
        <v>April</v>
      </c>
    </row>
    <row r="653" spans="1:9" x14ac:dyDescent="0.3">
      <c r="A653" t="s">
        <v>687</v>
      </c>
      <c r="B653" t="s">
        <v>44</v>
      </c>
      <c r="C653" t="s">
        <v>39</v>
      </c>
      <c r="D653">
        <v>1</v>
      </c>
      <c r="E653">
        <v>3593.54</v>
      </c>
      <c r="F653" t="s">
        <v>18</v>
      </c>
      <c r="G653" s="1">
        <v>46126</v>
      </c>
      <c r="H653">
        <f t="shared" si="20"/>
        <v>3593.54</v>
      </c>
      <c r="I653" t="str">
        <f t="shared" si="21"/>
        <v>April</v>
      </c>
    </row>
    <row r="654" spans="1:9" x14ac:dyDescent="0.3">
      <c r="A654" t="s">
        <v>688</v>
      </c>
      <c r="B654" t="s">
        <v>80</v>
      </c>
      <c r="C654" t="s">
        <v>39</v>
      </c>
      <c r="D654">
        <v>3</v>
      </c>
      <c r="E654">
        <v>4363.55</v>
      </c>
      <c r="F654" t="s">
        <v>32</v>
      </c>
      <c r="G654" s="1">
        <v>46139</v>
      </c>
      <c r="H654">
        <f t="shared" si="20"/>
        <v>13090.650000000001</v>
      </c>
      <c r="I654" t="str">
        <f t="shared" si="21"/>
        <v>April</v>
      </c>
    </row>
    <row r="655" spans="1:9" x14ac:dyDescent="0.3">
      <c r="A655" t="s">
        <v>689</v>
      </c>
      <c r="B655" t="s">
        <v>44</v>
      </c>
      <c r="C655" t="s">
        <v>39</v>
      </c>
      <c r="D655">
        <v>3</v>
      </c>
      <c r="E655">
        <v>3557.37</v>
      </c>
      <c r="F655" t="s">
        <v>18</v>
      </c>
      <c r="G655" s="1">
        <v>46140</v>
      </c>
      <c r="H655">
        <f t="shared" si="20"/>
        <v>10672.11</v>
      </c>
      <c r="I655" t="str">
        <f t="shared" si="21"/>
        <v>April</v>
      </c>
    </row>
    <row r="656" spans="1:9" x14ac:dyDescent="0.3">
      <c r="A656" t="s">
        <v>690</v>
      </c>
      <c r="B656" t="s">
        <v>8</v>
      </c>
      <c r="C656" t="s">
        <v>9</v>
      </c>
      <c r="D656">
        <v>3</v>
      </c>
      <c r="E656">
        <v>1926.04</v>
      </c>
      <c r="F656" t="s">
        <v>14</v>
      </c>
      <c r="G656" s="1">
        <v>46124</v>
      </c>
      <c r="H656">
        <f t="shared" si="20"/>
        <v>5778.12</v>
      </c>
      <c r="I656" t="str">
        <f t="shared" si="21"/>
        <v>April</v>
      </c>
    </row>
    <row r="657" spans="1:9" x14ac:dyDescent="0.3">
      <c r="A657" t="s">
        <v>691</v>
      </c>
      <c r="B657" t="s">
        <v>12</v>
      </c>
      <c r="C657" t="s">
        <v>13</v>
      </c>
      <c r="D657">
        <v>4</v>
      </c>
      <c r="E657">
        <v>1597.45</v>
      </c>
      <c r="F657" t="s">
        <v>22</v>
      </c>
      <c r="G657" s="1">
        <v>46091</v>
      </c>
      <c r="H657">
        <f t="shared" si="20"/>
        <v>6389.8</v>
      </c>
      <c r="I657" t="str">
        <f t="shared" si="21"/>
        <v>March</v>
      </c>
    </row>
    <row r="658" spans="1:9" x14ac:dyDescent="0.3">
      <c r="A658" t="s">
        <v>692</v>
      </c>
      <c r="B658" t="s">
        <v>55</v>
      </c>
      <c r="C658" t="s">
        <v>25</v>
      </c>
      <c r="D658">
        <v>3</v>
      </c>
      <c r="E658">
        <v>2417.91</v>
      </c>
      <c r="F658" t="s">
        <v>50</v>
      </c>
      <c r="G658" s="1">
        <v>46056</v>
      </c>
      <c r="H658">
        <f t="shared" si="20"/>
        <v>7253.73</v>
      </c>
      <c r="I658" t="str">
        <f t="shared" si="21"/>
        <v>February</v>
      </c>
    </row>
    <row r="659" spans="1:9" x14ac:dyDescent="0.3">
      <c r="A659" t="s">
        <v>693</v>
      </c>
      <c r="B659" t="s">
        <v>16</v>
      </c>
      <c r="C659" t="s">
        <v>17</v>
      </c>
      <c r="D659">
        <v>4</v>
      </c>
      <c r="E659">
        <v>475.95</v>
      </c>
      <c r="F659" t="s">
        <v>46</v>
      </c>
      <c r="G659" s="1">
        <v>46034</v>
      </c>
      <c r="H659">
        <f t="shared" si="20"/>
        <v>1903.8</v>
      </c>
      <c r="I659" t="str">
        <f t="shared" si="21"/>
        <v>January</v>
      </c>
    </row>
    <row r="660" spans="1:9" x14ac:dyDescent="0.3">
      <c r="A660" t="s">
        <v>694</v>
      </c>
      <c r="B660" t="s">
        <v>31</v>
      </c>
      <c r="C660" t="s">
        <v>13</v>
      </c>
      <c r="D660">
        <v>4</v>
      </c>
      <c r="E660">
        <v>16258.61</v>
      </c>
      <c r="F660" t="s">
        <v>26</v>
      </c>
      <c r="G660" s="1">
        <v>46135</v>
      </c>
      <c r="H660">
        <f t="shared" si="20"/>
        <v>65034.44</v>
      </c>
      <c r="I660" t="str">
        <f t="shared" si="21"/>
        <v>April</v>
      </c>
    </row>
    <row r="661" spans="1:9" x14ac:dyDescent="0.3">
      <c r="A661" t="s">
        <v>695</v>
      </c>
      <c r="B661" t="s">
        <v>44</v>
      </c>
      <c r="C661" t="s">
        <v>39</v>
      </c>
      <c r="D661">
        <v>1</v>
      </c>
      <c r="E661">
        <v>3844.29</v>
      </c>
      <c r="F661" t="s">
        <v>48</v>
      </c>
      <c r="G661" s="1">
        <v>46074</v>
      </c>
      <c r="H661">
        <f t="shared" si="20"/>
        <v>3844.29</v>
      </c>
      <c r="I661" t="str">
        <f t="shared" si="21"/>
        <v>February</v>
      </c>
    </row>
    <row r="662" spans="1:9" x14ac:dyDescent="0.3">
      <c r="A662" t="s">
        <v>696</v>
      </c>
      <c r="B662" t="s">
        <v>21</v>
      </c>
      <c r="C662" t="s">
        <v>13</v>
      </c>
      <c r="D662">
        <v>2</v>
      </c>
      <c r="E662">
        <v>30140.03</v>
      </c>
      <c r="F662" t="s">
        <v>10</v>
      </c>
      <c r="G662" s="1">
        <v>46063</v>
      </c>
      <c r="H662">
        <f t="shared" si="20"/>
        <v>60280.06</v>
      </c>
      <c r="I662" t="str">
        <f t="shared" si="21"/>
        <v>February</v>
      </c>
    </row>
    <row r="663" spans="1:9" x14ac:dyDescent="0.3">
      <c r="A663" t="s">
        <v>697</v>
      </c>
      <c r="B663" t="s">
        <v>38</v>
      </c>
      <c r="C663" t="s">
        <v>39</v>
      </c>
      <c r="D663">
        <v>3</v>
      </c>
      <c r="E663">
        <v>5971.34</v>
      </c>
      <c r="F663" t="s">
        <v>32</v>
      </c>
      <c r="G663" s="1">
        <v>46087</v>
      </c>
      <c r="H663">
        <f t="shared" si="20"/>
        <v>17914.02</v>
      </c>
      <c r="I663" t="str">
        <f t="shared" si="21"/>
        <v>March</v>
      </c>
    </row>
    <row r="664" spans="1:9" x14ac:dyDescent="0.3">
      <c r="A664" t="s">
        <v>698</v>
      </c>
      <c r="B664" t="s">
        <v>31</v>
      </c>
      <c r="C664" t="s">
        <v>13</v>
      </c>
      <c r="D664">
        <v>3</v>
      </c>
      <c r="E664">
        <v>18592.23</v>
      </c>
      <c r="F664" t="s">
        <v>26</v>
      </c>
      <c r="G664" s="1">
        <v>46036</v>
      </c>
      <c r="H664">
        <f t="shared" si="20"/>
        <v>55776.69</v>
      </c>
      <c r="I664" t="str">
        <f t="shared" si="21"/>
        <v>January</v>
      </c>
    </row>
    <row r="665" spans="1:9" x14ac:dyDescent="0.3">
      <c r="A665" t="s">
        <v>699</v>
      </c>
      <c r="B665" t="s">
        <v>28</v>
      </c>
      <c r="C665" t="s">
        <v>9</v>
      </c>
      <c r="D665">
        <v>3</v>
      </c>
      <c r="E665">
        <v>5224.9399999999996</v>
      </c>
      <c r="F665" t="s">
        <v>29</v>
      </c>
      <c r="G665" s="1">
        <v>46132</v>
      </c>
      <c r="H665">
        <f t="shared" si="20"/>
        <v>15674.82</v>
      </c>
      <c r="I665" t="str">
        <f t="shared" si="21"/>
        <v>April</v>
      </c>
    </row>
    <row r="666" spans="1:9" x14ac:dyDescent="0.3">
      <c r="A666" t="s">
        <v>700</v>
      </c>
      <c r="B666" t="s">
        <v>8</v>
      </c>
      <c r="C666" t="s">
        <v>9</v>
      </c>
      <c r="D666">
        <v>1</v>
      </c>
      <c r="E666">
        <v>1873.33</v>
      </c>
      <c r="F666" t="s">
        <v>46</v>
      </c>
      <c r="G666" s="1">
        <v>46077</v>
      </c>
      <c r="H666">
        <f t="shared" si="20"/>
        <v>1873.33</v>
      </c>
      <c r="I666" t="str">
        <f t="shared" si="21"/>
        <v>February</v>
      </c>
    </row>
    <row r="667" spans="1:9" x14ac:dyDescent="0.3">
      <c r="A667" t="s">
        <v>701</v>
      </c>
      <c r="B667" t="s">
        <v>44</v>
      </c>
      <c r="C667" t="s">
        <v>39</v>
      </c>
      <c r="D667">
        <v>1</v>
      </c>
      <c r="E667">
        <v>3242.89</v>
      </c>
      <c r="F667" t="s">
        <v>29</v>
      </c>
      <c r="G667" s="1">
        <v>46155</v>
      </c>
      <c r="H667">
        <f t="shared" si="20"/>
        <v>3242.89</v>
      </c>
      <c r="I667" t="str">
        <f t="shared" si="21"/>
        <v>May</v>
      </c>
    </row>
    <row r="668" spans="1:9" x14ac:dyDescent="0.3">
      <c r="A668" t="s">
        <v>702</v>
      </c>
      <c r="B668" t="s">
        <v>8</v>
      </c>
      <c r="C668" t="s">
        <v>9</v>
      </c>
      <c r="D668">
        <v>4</v>
      </c>
      <c r="E668">
        <v>1623.34</v>
      </c>
      <c r="F668" t="s">
        <v>32</v>
      </c>
      <c r="G668" s="1">
        <v>46053</v>
      </c>
      <c r="H668">
        <f t="shared" si="20"/>
        <v>6493.36</v>
      </c>
      <c r="I668" t="str">
        <f t="shared" si="21"/>
        <v>January</v>
      </c>
    </row>
    <row r="669" spans="1:9" x14ac:dyDescent="0.3">
      <c r="A669" t="s">
        <v>703</v>
      </c>
      <c r="B669" t="s">
        <v>38</v>
      </c>
      <c r="C669" t="s">
        <v>39</v>
      </c>
      <c r="D669">
        <v>4</v>
      </c>
      <c r="E669">
        <v>6752.24</v>
      </c>
      <c r="F669" t="s">
        <v>22</v>
      </c>
      <c r="G669" s="1">
        <v>46041</v>
      </c>
      <c r="H669">
        <f t="shared" si="20"/>
        <v>27008.959999999999</v>
      </c>
      <c r="I669" t="str">
        <f t="shared" si="21"/>
        <v>January</v>
      </c>
    </row>
    <row r="670" spans="1:9" x14ac:dyDescent="0.3">
      <c r="A670" t="s">
        <v>704</v>
      </c>
      <c r="B670" t="s">
        <v>12</v>
      </c>
      <c r="C670" t="s">
        <v>13</v>
      </c>
      <c r="D670">
        <v>4</v>
      </c>
      <c r="E670">
        <v>1376.8</v>
      </c>
      <c r="F670" t="s">
        <v>18</v>
      </c>
      <c r="G670" s="1">
        <v>46049</v>
      </c>
      <c r="H670">
        <f t="shared" si="20"/>
        <v>5507.2</v>
      </c>
      <c r="I670" t="str">
        <f t="shared" si="21"/>
        <v>January</v>
      </c>
    </row>
    <row r="671" spans="1:9" x14ac:dyDescent="0.3">
      <c r="A671" t="s">
        <v>705</v>
      </c>
      <c r="B671" t="s">
        <v>55</v>
      </c>
      <c r="C671" t="s">
        <v>25</v>
      </c>
      <c r="D671">
        <v>3</v>
      </c>
      <c r="E671">
        <v>2689.42</v>
      </c>
      <c r="F671" t="s">
        <v>26</v>
      </c>
      <c r="G671" s="1">
        <v>46120</v>
      </c>
      <c r="H671">
        <f t="shared" si="20"/>
        <v>8068.26</v>
      </c>
      <c r="I671" t="str">
        <f t="shared" si="21"/>
        <v>April</v>
      </c>
    </row>
    <row r="672" spans="1:9" x14ac:dyDescent="0.3">
      <c r="A672" t="s">
        <v>706</v>
      </c>
      <c r="B672" t="s">
        <v>62</v>
      </c>
      <c r="C672" t="s">
        <v>25</v>
      </c>
      <c r="D672">
        <v>2</v>
      </c>
      <c r="E672">
        <v>2055.6</v>
      </c>
      <c r="F672" t="s">
        <v>26</v>
      </c>
      <c r="G672" s="1">
        <v>46040</v>
      </c>
      <c r="H672">
        <f t="shared" si="20"/>
        <v>4111.2</v>
      </c>
      <c r="I672" t="str">
        <f t="shared" si="21"/>
        <v>January</v>
      </c>
    </row>
    <row r="673" spans="1:9" x14ac:dyDescent="0.3">
      <c r="A673" t="s">
        <v>707</v>
      </c>
      <c r="B673" t="s">
        <v>80</v>
      </c>
      <c r="C673" t="s">
        <v>39</v>
      </c>
      <c r="D673">
        <v>5</v>
      </c>
      <c r="E673">
        <v>3787.12</v>
      </c>
      <c r="F673" t="s">
        <v>26</v>
      </c>
      <c r="G673" s="1">
        <v>46135</v>
      </c>
      <c r="H673">
        <f t="shared" si="20"/>
        <v>18935.599999999999</v>
      </c>
      <c r="I673" t="str">
        <f t="shared" si="21"/>
        <v>April</v>
      </c>
    </row>
    <row r="674" spans="1:9" x14ac:dyDescent="0.3">
      <c r="A674" t="s">
        <v>708</v>
      </c>
      <c r="B674" t="s">
        <v>55</v>
      </c>
      <c r="C674" t="s">
        <v>25</v>
      </c>
      <c r="D674">
        <v>2</v>
      </c>
      <c r="E674">
        <v>2563.0100000000002</v>
      </c>
      <c r="F674" t="s">
        <v>26</v>
      </c>
      <c r="G674" s="1">
        <v>46128</v>
      </c>
      <c r="H674">
        <f t="shared" si="20"/>
        <v>5126.0200000000004</v>
      </c>
      <c r="I674" t="str">
        <f t="shared" si="21"/>
        <v>April</v>
      </c>
    </row>
    <row r="675" spans="1:9" x14ac:dyDescent="0.3">
      <c r="A675" t="s">
        <v>709</v>
      </c>
      <c r="B675" t="s">
        <v>16</v>
      </c>
      <c r="C675" t="s">
        <v>17</v>
      </c>
      <c r="D675">
        <v>4</v>
      </c>
      <c r="E675">
        <v>482.4</v>
      </c>
      <c r="F675" t="s">
        <v>18</v>
      </c>
      <c r="G675" s="1">
        <v>46048</v>
      </c>
      <c r="H675">
        <f t="shared" si="20"/>
        <v>1929.6</v>
      </c>
      <c r="I675" t="str">
        <f t="shared" si="21"/>
        <v>January</v>
      </c>
    </row>
    <row r="676" spans="1:9" x14ac:dyDescent="0.3">
      <c r="A676" t="s">
        <v>710</v>
      </c>
      <c r="B676" t="s">
        <v>72</v>
      </c>
      <c r="C676" t="s">
        <v>13</v>
      </c>
      <c r="D676">
        <v>1</v>
      </c>
      <c r="E676">
        <v>2239.41</v>
      </c>
      <c r="F676" t="s">
        <v>48</v>
      </c>
      <c r="G676" s="1">
        <v>46112</v>
      </c>
      <c r="H676">
        <f t="shared" si="20"/>
        <v>2239.41</v>
      </c>
      <c r="I676" t="str">
        <f t="shared" si="21"/>
        <v>March</v>
      </c>
    </row>
    <row r="677" spans="1:9" x14ac:dyDescent="0.3">
      <c r="A677" t="s">
        <v>711</v>
      </c>
      <c r="B677" t="s">
        <v>28</v>
      </c>
      <c r="C677" t="s">
        <v>9</v>
      </c>
      <c r="D677">
        <v>3</v>
      </c>
      <c r="E677">
        <v>5290.02</v>
      </c>
      <c r="F677" t="s">
        <v>29</v>
      </c>
      <c r="G677" s="1">
        <v>46093</v>
      </c>
      <c r="H677">
        <f t="shared" si="20"/>
        <v>15870.060000000001</v>
      </c>
      <c r="I677" t="str">
        <f t="shared" si="21"/>
        <v>March</v>
      </c>
    </row>
    <row r="678" spans="1:9" x14ac:dyDescent="0.3">
      <c r="A678" t="s">
        <v>712</v>
      </c>
      <c r="B678" t="s">
        <v>8</v>
      </c>
      <c r="C678" t="s">
        <v>9</v>
      </c>
      <c r="D678">
        <v>1</v>
      </c>
      <c r="E678">
        <v>1709.34</v>
      </c>
      <c r="F678" t="s">
        <v>50</v>
      </c>
      <c r="G678" s="1">
        <v>46176</v>
      </c>
      <c r="H678">
        <f t="shared" si="20"/>
        <v>1709.34</v>
      </c>
      <c r="I678" t="str">
        <f t="shared" si="21"/>
        <v>June</v>
      </c>
    </row>
    <row r="679" spans="1:9" x14ac:dyDescent="0.3">
      <c r="A679" t="s">
        <v>713</v>
      </c>
      <c r="B679" t="s">
        <v>21</v>
      </c>
      <c r="C679" t="s">
        <v>13</v>
      </c>
      <c r="D679">
        <v>5</v>
      </c>
      <c r="E679">
        <v>26795.56</v>
      </c>
      <c r="F679" t="s">
        <v>46</v>
      </c>
      <c r="G679" s="1">
        <v>46191</v>
      </c>
      <c r="H679">
        <f t="shared" si="20"/>
        <v>133977.80000000002</v>
      </c>
      <c r="I679" t="str">
        <f t="shared" si="21"/>
        <v>June</v>
      </c>
    </row>
    <row r="680" spans="1:9" x14ac:dyDescent="0.3">
      <c r="A680" t="s">
        <v>714</v>
      </c>
      <c r="B680" t="s">
        <v>24</v>
      </c>
      <c r="C680" t="s">
        <v>25</v>
      </c>
      <c r="D680">
        <v>2</v>
      </c>
      <c r="E680">
        <v>801.84</v>
      </c>
      <c r="F680" t="s">
        <v>14</v>
      </c>
      <c r="G680" s="1">
        <v>46071</v>
      </c>
      <c r="H680">
        <f t="shared" si="20"/>
        <v>1603.68</v>
      </c>
      <c r="I680" t="str">
        <f t="shared" si="21"/>
        <v>February</v>
      </c>
    </row>
    <row r="681" spans="1:9" x14ac:dyDescent="0.3">
      <c r="A681" t="s">
        <v>715</v>
      </c>
      <c r="B681" t="s">
        <v>21</v>
      </c>
      <c r="C681" t="s">
        <v>13</v>
      </c>
      <c r="D681">
        <v>4</v>
      </c>
      <c r="E681">
        <v>26855.040000000001</v>
      </c>
      <c r="F681" t="s">
        <v>46</v>
      </c>
      <c r="G681" s="1">
        <v>46084</v>
      </c>
      <c r="H681">
        <f t="shared" si="20"/>
        <v>107420.16</v>
      </c>
      <c r="I681" t="str">
        <f t="shared" si="21"/>
        <v>March</v>
      </c>
    </row>
    <row r="682" spans="1:9" x14ac:dyDescent="0.3">
      <c r="A682" t="s">
        <v>716</v>
      </c>
      <c r="B682" t="s">
        <v>44</v>
      </c>
      <c r="C682" t="s">
        <v>39</v>
      </c>
      <c r="D682">
        <v>4</v>
      </c>
      <c r="E682">
        <v>3228.92</v>
      </c>
      <c r="F682" t="s">
        <v>22</v>
      </c>
      <c r="G682" s="1">
        <v>46186</v>
      </c>
      <c r="H682">
        <f t="shared" si="20"/>
        <v>12915.68</v>
      </c>
      <c r="I682" t="str">
        <f t="shared" si="21"/>
        <v>June</v>
      </c>
    </row>
    <row r="683" spans="1:9" x14ac:dyDescent="0.3">
      <c r="A683" t="s">
        <v>717</v>
      </c>
      <c r="B683" t="s">
        <v>16</v>
      </c>
      <c r="C683" t="s">
        <v>17</v>
      </c>
      <c r="D683">
        <v>1</v>
      </c>
      <c r="E683">
        <v>452.55</v>
      </c>
      <c r="F683" t="s">
        <v>46</v>
      </c>
      <c r="G683" s="1">
        <v>46115</v>
      </c>
      <c r="H683">
        <f t="shared" si="20"/>
        <v>452.55</v>
      </c>
      <c r="I683" t="str">
        <f t="shared" si="21"/>
        <v>April</v>
      </c>
    </row>
    <row r="684" spans="1:9" x14ac:dyDescent="0.3">
      <c r="A684" t="s">
        <v>718</v>
      </c>
      <c r="B684" t="s">
        <v>55</v>
      </c>
      <c r="C684" t="s">
        <v>25</v>
      </c>
      <c r="D684">
        <v>2</v>
      </c>
      <c r="E684">
        <v>2442.44</v>
      </c>
      <c r="F684" t="s">
        <v>50</v>
      </c>
      <c r="G684" s="1">
        <v>46130</v>
      </c>
      <c r="H684">
        <f t="shared" si="20"/>
        <v>4884.88</v>
      </c>
      <c r="I684" t="str">
        <f t="shared" si="21"/>
        <v>April</v>
      </c>
    </row>
    <row r="685" spans="1:9" x14ac:dyDescent="0.3">
      <c r="A685" t="s">
        <v>719</v>
      </c>
      <c r="B685" t="s">
        <v>55</v>
      </c>
      <c r="C685" t="s">
        <v>25</v>
      </c>
      <c r="D685">
        <v>5</v>
      </c>
      <c r="E685">
        <v>2590.4299999999998</v>
      </c>
      <c r="F685" t="s">
        <v>22</v>
      </c>
      <c r="G685" s="1">
        <v>46041</v>
      </c>
      <c r="H685">
        <f t="shared" si="20"/>
        <v>12952.15</v>
      </c>
      <c r="I685" t="str">
        <f t="shared" si="21"/>
        <v>January</v>
      </c>
    </row>
    <row r="686" spans="1:9" x14ac:dyDescent="0.3">
      <c r="A686" t="s">
        <v>720</v>
      </c>
      <c r="B686" t="s">
        <v>91</v>
      </c>
      <c r="C686" t="s">
        <v>13</v>
      </c>
      <c r="D686">
        <v>5</v>
      </c>
      <c r="E686">
        <v>50242.86</v>
      </c>
      <c r="F686" t="s">
        <v>10</v>
      </c>
      <c r="G686" s="1">
        <v>46078</v>
      </c>
      <c r="H686">
        <f t="shared" si="20"/>
        <v>251214.3</v>
      </c>
      <c r="I686" t="str">
        <f t="shared" si="21"/>
        <v>February</v>
      </c>
    </row>
    <row r="687" spans="1:9" x14ac:dyDescent="0.3">
      <c r="A687" t="s">
        <v>721</v>
      </c>
      <c r="B687" t="s">
        <v>91</v>
      </c>
      <c r="C687" t="s">
        <v>13</v>
      </c>
      <c r="D687">
        <v>1</v>
      </c>
      <c r="E687">
        <v>59935.48</v>
      </c>
      <c r="F687" t="s">
        <v>48</v>
      </c>
      <c r="G687" s="1">
        <v>46152</v>
      </c>
      <c r="H687">
        <f t="shared" si="20"/>
        <v>59935.48</v>
      </c>
      <c r="I687" t="str">
        <f t="shared" si="21"/>
        <v>May</v>
      </c>
    </row>
    <row r="688" spans="1:9" x14ac:dyDescent="0.3">
      <c r="A688" t="s">
        <v>722</v>
      </c>
      <c r="B688" t="s">
        <v>24</v>
      </c>
      <c r="C688" t="s">
        <v>25</v>
      </c>
      <c r="D688">
        <v>5</v>
      </c>
      <c r="E688">
        <v>841.68</v>
      </c>
      <c r="F688" t="s">
        <v>48</v>
      </c>
      <c r="G688" s="1">
        <v>46202</v>
      </c>
      <c r="H688">
        <f t="shared" si="20"/>
        <v>4208.3999999999996</v>
      </c>
      <c r="I688" t="str">
        <f t="shared" si="21"/>
        <v>June</v>
      </c>
    </row>
    <row r="689" spans="1:9" x14ac:dyDescent="0.3">
      <c r="A689" t="s">
        <v>723</v>
      </c>
      <c r="B689" t="s">
        <v>28</v>
      </c>
      <c r="C689" t="s">
        <v>9</v>
      </c>
      <c r="D689">
        <v>1</v>
      </c>
      <c r="E689">
        <v>5139.51</v>
      </c>
      <c r="F689" t="s">
        <v>14</v>
      </c>
      <c r="G689" s="1">
        <v>46180</v>
      </c>
      <c r="H689">
        <f t="shared" si="20"/>
        <v>5139.51</v>
      </c>
      <c r="I689" t="str">
        <f t="shared" si="21"/>
        <v>June</v>
      </c>
    </row>
    <row r="690" spans="1:9" x14ac:dyDescent="0.3">
      <c r="A690" t="s">
        <v>724</v>
      </c>
      <c r="B690" t="s">
        <v>72</v>
      </c>
      <c r="C690" t="s">
        <v>13</v>
      </c>
      <c r="D690">
        <v>3</v>
      </c>
      <c r="E690">
        <v>2016.78</v>
      </c>
      <c r="F690" t="s">
        <v>18</v>
      </c>
      <c r="G690" s="1">
        <v>46153</v>
      </c>
      <c r="H690">
        <f t="shared" si="20"/>
        <v>6050.34</v>
      </c>
      <c r="I690" t="str">
        <f t="shared" si="21"/>
        <v>May</v>
      </c>
    </row>
    <row r="691" spans="1:9" x14ac:dyDescent="0.3">
      <c r="A691" t="s">
        <v>725</v>
      </c>
      <c r="B691" t="s">
        <v>12</v>
      </c>
      <c r="C691" t="s">
        <v>13</v>
      </c>
      <c r="D691">
        <v>2</v>
      </c>
      <c r="E691">
        <v>1510.92</v>
      </c>
      <c r="F691" t="s">
        <v>48</v>
      </c>
      <c r="G691" s="1">
        <v>46173</v>
      </c>
      <c r="H691">
        <f t="shared" si="20"/>
        <v>3021.84</v>
      </c>
      <c r="I691" t="str">
        <f t="shared" si="21"/>
        <v>May</v>
      </c>
    </row>
    <row r="692" spans="1:9" x14ac:dyDescent="0.3">
      <c r="A692" t="s">
        <v>726</v>
      </c>
      <c r="B692" t="s">
        <v>8</v>
      </c>
      <c r="C692" t="s">
        <v>9</v>
      </c>
      <c r="D692">
        <v>1</v>
      </c>
      <c r="E692">
        <v>1731.66</v>
      </c>
      <c r="F692" t="s">
        <v>48</v>
      </c>
      <c r="G692" s="1">
        <v>46084</v>
      </c>
      <c r="H692">
        <f t="shared" si="20"/>
        <v>1731.66</v>
      </c>
      <c r="I692" t="str">
        <f t="shared" si="21"/>
        <v>March</v>
      </c>
    </row>
    <row r="693" spans="1:9" x14ac:dyDescent="0.3">
      <c r="A693" t="s">
        <v>727</v>
      </c>
      <c r="B693" t="s">
        <v>91</v>
      </c>
      <c r="C693" t="s">
        <v>13</v>
      </c>
      <c r="D693">
        <v>2</v>
      </c>
      <c r="E693">
        <v>50448.34</v>
      </c>
      <c r="F693" t="s">
        <v>48</v>
      </c>
      <c r="G693" s="1">
        <v>46052</v>
      </c>
      <c r="H693">
        <f t="shared" si="20"/>
        <v>100896.68</v>
      </c>
      <c r="I693" t="str">
        <f t="shared" si="21"/>
        <v>January</v>
      </c>
    </row>
    <row r="694" spans="1:9" x14ac:dyDescent="0.3">
      <c r="A694" t="s">
        <v>728</v>
      </c>
      <c r="B694" t="s">
        <v>44</v>
      </c>
      <c r="C694" t="s">
        <v>39</v>
      </c>
      <c r="D694">
        <v>5</v>
      </c>
      <c r="E694">
        <v>3576.18</v>
      </c>
      <c r="F694" t="s">
        <v>10</v>
      </c>
      <c r="G694" s="1">
        <v>46193</v>
      </c>
      <c r="H694">
        <f t="shared" si="20"/>
        <v>17880.899999999998</v>
      </c>
      <c r="I694" t="str">
        <f t="shared" si="21"/>
        <v>June</v>
      </c>
    </row>
    <row r="695" spans="1:9" x14ac:dyDescent="0.3">
      <c r="A695" t="s">
        <v>729</v>
      </c>
      <c r="B695" t="s">
        <v>21</v>
      </c>
      <c r="C695" t="s">
        <v>13</v>
      </c>
      <c r="D695">
        <v>2</v>
      </c>
      <c r="E695">
        <v>25868.880000000001</v>
      </c>
      <c r="F695" t="s">
        <v>26</v>
      </c>
      <c r="G695" s="1">
        <v>46202</v>
      </c>
      <c r="H695">
        <f t="shared" si="20"/>
        <v>51737.760000000002</v>
      </c>
      <c r="I695" t="str">
        <f t="shared" si="21"/>
        <v>June</v>
      </c>
    </row>
    <row r="696" spans="1:9" x14ac:dyDescent="0.3">
      <c r="A696" t="s">
        <v>730</v>
      </c>
      <c r="B696" t="s">
        <v>91</v>
      </c>
      <c r="C696" t="s">
        <v>13</v>
      </c>
      <c r="D696">
        <v>2</v>
      </c>
      <c r="E696">
        <v>54960.54</v>
      </c>
      <c r="F696" t="s">
        <v>32</v>
      </c>
      <c r="G696" s="1">
        <v>46156</v>
      </c>
      <c r="H696">
        <f t="shared" si="20"/>
        <v>109921.08</v>
      </c>
      <c r="I696" t="str">
        <f t="shared" si="21"/>
        <v>May</v>
      </c>
    </row>
    <row r="697" spans="1:9" x14ac:dyDescent="0.3">
      <c r="A697" t="s">
        <v>731</v>
      </c>
      <c r="B697" t="s">
        <v>80</v>
      </c>
      <c r="C697" t="s">
        <v>39</v>
      </c>
      <c r="D697">
        <v>3</v>
      </c>
      <c r="E697">
        <v>3920.25</v>
      </c>
      <c r="F697" t="s">
        <v>26</v>
      </c>
      <c r="G697" s="1">
        <v>46091</v>
      </c>
      <c r="H697">
        <f t="shared" si="20"/>
        <v>11760.75</v>
      </c>
      <c r="I697" t="str">
        <f t="shared" si="21"/>
        <v>March</v>
      </c>
    </row>
    <row r="698" spans="1:9" x14ac:dyDescent="0.3">
      <c r="A698" t="s">
        <v>732</v>
      </c>
      <c r="B698" t="s">
        <v>21</v>
      </c>
      <c r="C698" t="s">
        <v>13</v>
      </c>
      <c r="D698">
        <v>1</v>
      </c>
      <c r="E698">
        <v>29520.01</v>
      </c>
      <c r="F698" t="s">
        <v>46</v>
      </c>
      <c r="G698" s="1">
        <v>46108</v>
      </c>
      <c r="H698">
        <f t="shared" si="20"/>
        <v>29520.01</v>
      </c>
      <c r="I698" t="str">
        <f t="shared" si="21"/>
        <v>March</v>
      </c>
    </row>
    <row r="699" spans="1:9" x14ac:dyDescent="0.3">
      <c r="A699" t="s">
        <v>733</v>
      </c>
      <c r="B699" t="s">
        <v>62</v>
      </c>
      <c r="C699" t="s">
        <v>25</v>
      </c>
      <c r="D699">
        <v>4</v>
      </c>
      <c r="E699">
        <v>1907.84</v>
      </c>
      <c r="F699" t="s">
        <v>18</v>
      </c>
      <c r="G699" s="1">
        <v>46090</v>
      </c>
      <c r="H699">
        <f t="shared" si="20"/>
        <v>7631.36</v>
      </c>
      <c r="I699" t="str">
        <f t="shared" si="21"/>
        <v>March</v>
      </c>
    </row>
    <row r="700" spans="1:9" x14ac:dyDescent="0.3">
      <c r="A700" t="s">
        <v>734</v>
      </c>
      <c r="B700" t="s">
        <v>21</v>
      </c>
      <c r="C700" t="s">
        <v>13</v>
      </c>
      <c r="D700">
        <v>5</v>
      </c>
      <c r="E700">
        <v>28714.18</v>
      </c>
      <c r="F700" t="s">
        <v>22</v>
      </c>
      <c r="G700" s="1">
        <v>46139</v>
      </c>
      <c r="H700">
        <f t="shared" si="20"/>
        <v>143570.9</v>
      </c>
      <c r="I700" t="str">
        <f t="shared" si="21"/>
        <v>April</v>
      </c>
    </row>
    <row r="701" spans="1:9" x14ac:dyDescent="0.3">
      <c r="A701" t="s">
        <v>735</v>
      </c>
      <c r="B701" t="s">
        <v>80</v>
      </c>
      <c r="C701" t="s">
        <v>39</v>
      </c>
      <c r="D701">
        <v>3</v>
      </c>
      <c r="E701">
        <v>3826.57</v>
      </c>
      <c r="F701" t="s">
        <v>50</v>
      </c>
      <c r="G701" s="1">
        <v>46065</v>
      </c>
      <c r="H701">
        <f t="shared" si="20"/>
        <v>11479.710000000001</v>
      </c>
      <c r="I701" t="str">
        <f t="shared" si="21"/>
        <v>February</v>
      </c>
    </row>
    <row r="702" spans="1:9" x14ac:dyDescent="0.3">
      <c r="A702" t="s">
        <v>736</v>
      </c>
      <c r="B702" t="s">
        <v>55</v>
      </c>
      <c r="C702" t="s">
        <v>25</v>
      </c>
      <c r="D702">
        <v>2</v>
      </c>
      <c r="E702">
        <v>2376.61</v>
      </c>
      <c r="F702" t="s">
        <v>18</v>
      </c>
      <c r="G702" s="1">
        <v>46169</v>
      </c>
      <c r="H702">
        <f t="shared" si="20"/>
        <v>4753.22</v>
      </c>
      <c r="I702" t="str">
        <f t="shared" si="21"/>
        <v>May</v>
      </c>
    </row>
    <row r="703" spans="1:9" x14ac:dyDescent="0.3">
      <c r="A703" t="s">
        <v>737</v>
      </c>
      <c r="B703" t="s">
        <v>8</v>
      </c>
      <c r="C703" t="s">
        <v>9</v>
      </c>
      <c r="D703">
        <v>1</v>
      </c>
      <c r="E703">
        <v>1702.23</v>
      </c>
      <c r="F703" t="s">
        <v>14</v>
      </c>
      <c r="G703" s="1">
        <v>46023</v>
      </c>
      <c r="H703">
        <f t="shared" si="20"/>
        <v>1702.23</v>
      </c>
      <c r="I703" t="str">
        <f t="shared" si="21"/>
        <v>January</v>
      </c>
    </row>
    <row r="704" spans="1:9" x14ac:dyDescent="0.3">
      <c r="A704" t="s">
        <v>738</v>
      </c>
      <c r="B704" t="s">
        <v>91</v>
      </c>
      <c r="C704" t="s">
        <v>13</v>
      </c>
      <c r="D704">
        <v>1</v>
      </c>
      <c r="E704">
        <v>52190.07</v>
      </c>
      <c r="F704" t="s">
        <v>22</v>
      </c>
      <c r="G704" s="1">
        <v>46116</v>
      </c>
      <c r="H704">
        <f t="shared" si="20"/>
        <v>52190.07</v>
      </c>
      <c r="I704" t="str">
        <f t="shared" si="21"/>
        <v>April</v>
      </c>
    </row>
    <row r="705" spans="1:9" x14ac:dyDescent="0.3">
      <c r="A705" t="s">
        <v>739</v>
      </c>
      <c r="B705" t="s">
        <v>28</v>
      </c>
      <c r="C705" t="s">
        <v>9</v>
      </c>
      <c r="D705">
        <v>2</v>
      </c>
      <c r="E705">
        <v>4678.03</v>
      </c>
      <c r="F705" t="s">
        <v>46</v>
      </c>
      <c r="G705" s="1">
        <v>46164</v>
      </c>
      <c r="H705">
        <f t="shared" si="20"/>
        <v>9356.06</v>
      </c>
      <c r="I705" t="str">
        <f t="shared" si="21"/>
        <v>May</v>
      </c>
    </row>
    <row r="706" spans="1:9" x14ac:dyDescent="0.3">
      <c r="A706" t="s">
        <v>740</v>
      </c>
      <c r="B706" t="s">
        <v>62</v>
      </c>
      <c r="C706" t="s">
        <v>25</v>
      </c>
      <c r="D706">
        <v>4</v>
      </c>
      <c r="E706">
        <v>1888.86</v>
      </c>
      <c r="F706" t="s">
        <v>29</v>
      </c>
      <c r="G706" s="1">
        <v>46129</v>
      </c>
      <c r="H706">
        <f t="shared" si="20"/>
        <v>7555.44</v>
      </c>
      <c r="I706" t="str">
        <f t="shared" si="21"/>
        <v>April</v>
      </c>
    </row>
    <row r="707" spans="1:9" x14ac:dyDescent="0.3">
      <c r="A707" t="s">
        <v>741</v>
      </c>
      <c r="B707" t="s">
        <v>21</v>
      </c>
      <c r="C707" t="s">
        <v>13</v>
      </c>
      <c r="D707">
        <v>3</v>
      </c>
      <c r="E707">
        <v>26719.040000000001</v>
      </c>
      <c r="F707" t="s">
        <v>18</v>
      </c>
      <c r="G707" s="1">
        <v>46169</v>
      </c>
      <c r="H707">
        <f t="shared" ref="H707:H770" si="22">D707*E707</f>
        <v>80157.119999999995</v>
      </c>
      <c r="I707" t="str">
        <f t="shared" ref="I707:I770" si="23">TEXT(G707, "mmmm")</f>
        <v>May</v>
      </c>
    </row>
    <row r="708" spans="1:9" x14ac:dyDescent="0.3">
      <c r="A708" t="s">
        <v>742</v>
      </c>
      <c r="B708" t="s">
        <v>55</v>
      </c>
      <c r="C708" t="s">
        <v>25</v>
      </c>
      <c r="D708">
        <v>1</v>
      </c>
      <c r="E708">
        <v>2500.02</v>
      </c>
      <c r="F708" t="s">
        <v>46</v>
      </c>
      <c r="G708" s="1">
        <v>46068</v>
      </c>
      <c r="H708">
        <f t="shared" si="22"/>
        <v>2500.02</v>
      </c>
      <c r="I708" t="str">
        <f t="shared" si="23"/>
        <v>February</v>
      </c>
    </row>
    <row r="709" spans="1:9" x14ac:dyDescent="0.3">
      <c r="A709" t="s">
        <v>743</v>
      </c>
      <c r="B709" t="s">
        <v>12</v>
      </c>
      <c r="C709" t="s">
        <v>13</v>
      </c>
      <c r="D709">
        <v>5</v>
      </c>
      <c r="E709">
        <v>1644.42</v>
      </c>
      <c r="F709" t="s">
        <v>48</v>
      </c>
      <c r="G709" s="1">
        <v>46040</v>
      </c>
      <c r="H709">
        <f t="shared" si="22"/>
        <v>8222.1</v>
      </c>
      <c r="I709" t="str">
        <f t="shared" si="23"/>
        <v>January</v>
      </c>
    </row>
    <row r="710" spans="1:9" x14ac:dyDescent="0.3">
      <c r="A710" t="s">
        <v>744</v>
      </c>
      <c r="B710" t="s">
        <v>44</v>
      </c>
      <c r="C710" t="s">
        <v>39</v>
      </c>
      <c r="D710">
        <v>3</v>
      </c>
      <c r="E710">
        <v>3691.47</v>
      </c>
      <c r="F710" t="s">
        <v>10</v>
      </c>
      <c r="G710" s="1">
        <v>46106</v>
      </c>
      <c r="H710">
        <f t="shared" si="22"/>
        <v>11074.41</v>
      </c>
      <c r="I710" t="str">
        <f t="shared" si="23"/>
        <v>March</v>
      </c>
    </row>
    <row r="711" spans="1:9" x14ac:dyDescent="0.3">
      <c r="A711" t="s">
        <v>745</v>
      </c>
      <c r="B711" t="s">
        <v>31</v>
      </c>
      <c r="C711" t="s">
        <v>13</v>
      </c>
      <c r="D711">
        <v>5</v>
      </c>
      <c r="E711">
        <v>17844.29</v>
      </c>
      <c r="F711" t="s">
        <v>32</v>
      </c>
      <c r="G711" s="1">
        <v>46074</v>
      </c>
      <c r="H711">
        <f t="shared" si="22"/>
        <v>89221.450000000012</v>
      </c>
      <c r="I711" t="str">
        <f t="shared" si="23"/>
        <v>February</v>
      </c>
    </row>
    <row r="712" spans="1:9" x14ac:dyDescent="0.3">
      <c r="A712" t="s">
        <v>746</v>
      </c>
      <c r="B712" t="s">
        <v>24</v>
      </c>
      <c r="C712" t="s">
        <v>25</v>
      </c>
      <c r="D712">
        <v>5</v>
      </c>
      <c r="E712">
        <v>844.46</v>
      </c>
      <c r="F712" t="s">
        <v>50</v>
      </c>
      <c r="G712" s="1">
        <v>46085</v>
      </c>
      <c r="H712">
        <f t="shared" si="22"/>
        <v>4222.3</v>
      </c>
      <c r="I712" t="str">
        <f t="shared" si="23"/>
        <v>March</v>
      </c>
    </row>
    <row r="713" spans="1:9" x14ac:dyDescent="0.3">
      <c r="A713" t="s">
        <v>747</v>
      </c>
      <c r="B713" t="s">
        <v>44</v>
      </c>
      <c r="C713" t="s">
        <v>39</v>
      </c>
      <c r="D713">
        <v>3</v>
      </c>
      <c r="E713">
        <v>3564.18</v>
      </c>
      <c r="F713" t="s">
        <v>22</v>
      </c>
      <c r="G713" s="1">
        <v>46073</v>
      </c>
      <c r="H713">
        <f t="shared" si="22"/>
        <v>10692.539999999999</v>
      </c>
      <c r="I713" t="str">
        <f t="shared" si="23"/>
        <v>February</v>
      </c>
    </row>
    <row r="714" spans="1:9" x14ac:dyDescent="0.3">
      <c r="A714" t="s">
        <v>748</v>
      </c>
      <c r="B714" t="s">
        <v>21</v>
      </c>
      <c r="C714" t="s">
        <v>13</v>
      </c>
      <c r="D714">
        <v>5</v>
      </c>
      <c r="E714">
        <v>29458.7</v>
      </c>
      <c r="F714" t="s">
        <v>29</v>
      </c>
      <c r="G714" s="1">
        <v>46061</v>
      </c>
      <c r="H714">
        <f t="shared" si="22"/>
        <v>147293.5</v>
      </c>
      <c r="I714" t="str">
        <f t="shared" si="23"/>
        <v>February</v>
      </c>
    </row>
    <row r="715" spans="1:9" x14ac:dyDescent="0.3">
      <c r="A715" t="s">
        <v>749</v>
      </c>
      <c r="B715" t="s">
        <v>91</v>
      </c>
      <c r="C715" t="s">
        <v>13</v>
      </c>
      <c r="D715">
        <v>4</v>
      </c>
      <c r="E715">
        <v>49763.01</v>
      </c>
      <c r="F715" t="s">
        <v>14</v>
      </c>
      <c r="G715" s="1">
        <v>46111</v>
      </c>
      <c r="H715">
        <f t="shared" si="22"/>
        <v>199052.04</v>
      </c>
      <c r="I715" t="str">
        <f t="shared" si="23"/>
        <v>March</v>
      </c>
    </row>
    <row r="716" spans="1:9" x14ac:dyDescent="0.3">
      <c r="A716" t="s">
        <v>750</v>
      </c>
      <c r="B716" t="s">
        <v>8</v>
      </c>
      <c r="C716" t="s">
        <v>9</v>
      </c>
      <c r="D716">
        <v>1</v>
      </c>
      <c r="E716">
        <v>1962.36</v>
      </c>
      <c r="F716" t="s">
        <v>46</v>
      </c>
      <c r="G716" s="1">
        <v>46191</v>
      </c>
      <c r="H716">
        <f t="shared" si="22"/>
        <v>1962.36</v>
      </c>
      <c r="I716" t="str">
        <f t="shared" si="23"/>
        <v>June</v>
      </c>
    </row>
    <row r="717" spans="1:9" x14ac:dyDescent="0.3">
      <c r="A717" t="s">
        <v>751</v>
      </c>
      <c r="B717" t="s">
        <v>28</v>
      </c>
      <c r="C717" t="s">
        <v>9</v>
      </c>
      <c r="D717">
        <v>3</v>
      </c>
      <c r="E717">
        <v>4603.03</v>
      </c>
      <c r="F717" t="s">
        <v>14</v>
      </c>
      <c r="G717" s="1">
        <v>46083</v>
      </c>
      <c r="H717">
        <f t="shared" si="22"/>
        <v>13809.09</v>
      </c>
      <c r="I717" t="str">
        <f t="shared" si="23"/>
        <v>March</v>
      </c>
    </row>
    <row r="718" spans="1:9" x14ac:dyDescent="0.3">
      <c r="A718" t="s">
        <v>752</v>
      </c>
      <c r="B718" t="s">
        <v>28</v>
      </c>
      <c r="C718" t="s">
        <v>9</v>
      </c>
      <c r="D718">
        <v>4</v>
      </c>
      <c r="E718">
        <v>5460.09</v>
      </c>
      <c r="F718" t="s">
        <v>26</v>
      </c>
      <c r="G718" s="1">
        <v>46094</v>
      </c>
      <c r="H718">
        <f t="shared" si="22"/>
        <v>21840.36</v>
      </c>
      <c r="I718" t="str">
        <f t="shared" si="23"/>
        <v>March</v>
      </c>
    </row>
    <row r="719" spans="1:9" x14ac:dyDescent="0.3">
      <c r="A719" t="s">
        <v>753</v>
      </c>
      <c r="B719" t="s">
        <v>31</v>
      </c>
      <c r="C719" t="s">
        <v>13</v>
      </c>
      <c r="D719">
        <v>1</v>
      </c>
      <c r="E719">
        <v>19516.59</v>
      </c>
      <c r="F719" t="s">
        <v>14</v>
      </c>
      <c r="G719" s="1">
        <v>46128</v>
      </c>
      <c r="H719">
        <f t="shared" si="22"/>
        <v>19516.59</v>
      </c>
      <c r="I719" t="str">
        <f t="shared" si="23"/>
        <v>April</v>
      </c>
    </row>
    <row r="720" spans="1:9" x14ac:dyDescent="0.3">
      <c r="A720" t="s">
        <v>754</v>
      </c>
      <c r="B720" t="s">
        <v>21</v>
      </c>
      <c r="C720" t="s">
        <v>13</v>
      </c>
      <c r="D720">
        <v>3</v>
      </c>
      <c r="E720">
        <v>27767.360000000001</v>
      </c>
      <c r="F720" t="s">
        <v>18</v>
      </c>
      <c r="G720" s="1">
        <v>46171</v>
      </c>
      <c r="H720">
        <f t="shared" si="22"/>
        <v>83302.080000000002</v>
      </c>
      <c r="I720" t="str">
        <f t="shared" si="23"/>
        <v>May</v>
      </c>
    </row>
    <row r="721" spans="1:9" x14ac:dyDescent="0.3">
      <c r="A721" t="s">
        <v>755</v>
      </c>
      <c r="B721" t="s">
        <v>31</v>
      </c>
      <c r="C721" t="s">
        <v>13</v>
      </c>
      <c r="D721">
        <v>5</v>
      </c>
      <c r="E721">
        <v>16680.650000000001</v>
      </c>
      <c r="F721" t="s">
        <v>48</v>
      </c>
      <c r="G721" s="1">
        <v>46042</v>
      </c>
      <c r="H721">
        <f t="shared" si="22"/>
        <v>83403.25</v>
      </c>
      <c r="I721" t="str">
        <f t="shared" si="23"/>
        <v>January</v>
      </c>
    </row>
    <row r="722" spans="1:9" x14ac:dyDescent="0.3">
      <c r="A722" t="s">
        <v>756</v>
      </c>
      <c r="B722" t="s">
        <v>16</v>
      </c>
      <c r="C722" t="s">
        <v>17</v>
      </c>
      <c r="D722">
        <v>5</v>
      </c>
      <c r="E722">
        <v>410.61</v>
      </c>
      <c r="F722" t="s">
        <v>26</v>
      </c>
      <c r="G722" s="1">
        <v>46083</v>
      </c>
      <c r="H722">
        <f t="shared" si="22"/>
        <v>2053.0500000000002</v>
      </c>
      <c r="I722" t="str">
        <f t="shared" si="23"/>
        <v>March</v>
      </c>
    </row>
    <row r="723" spans="1:9" x14ac:dyDescent="0.3">
      <c r="A723" t="s">
        <v>757</v>
      </c>
      <c r="B723" t="s">
        <v>24</v>
      </c>
      <c r="C723" t="s">
        <v>25</v>
      </c>
      <c r="D723">
        <v>3</v>
      </c>
      <c r="E723">
        <v>855.08</v>
      </c>
      <c r="F723" t="s">
        <v>48</v>
      </c>
      <c r="G723" s="1">
        <v>46202</v>
      </c>
      <c r="H723">
        <f t="shared" si="22"/>
        <v>2565.2400000000002</v>
      </c>
      <c r="I723" t="str">
        <f t="shared" si="23"/>
        <v>June</v>
      </c>
    </row>
    <row r="724" spans="1:9" x14ac:dyDescent="0.3">
      <c r="A724" t="s">
        <v>758</v>
      </c>
      <c r="B724" t="s">
        <v>38</v>
      </c>
      <c r="C724" t="s">
        <v>39</v>
      </c>
      <c r="D724">
        <v>3</v>
      </c>
      <c r="E724">
        <v>6263.48</v>
      </c>
      <c r="F724" t="s">
        <v>10</v>
      </c>
      <c r="G724" s="1">
        <v>46082</v>
      </c>
      <c r="H724">
        <f t="shared" si="22"/>
        <v>18790.439999999999</v>
      </c>
      <c r="I724" t="str">
        <f t="shared" si="23"/>
        <v>March</v>
      </c>
    </row>
    <row r="725" spans="1:9" x14ac:dyDescent="0.3">
      <c r="A725" t="s">
        <v>759</v>
      </c>
      <c r="B725" t="s">
        <v>31</v>
      </c>
      <c r="C725" t="s">
        <v>13</v>
      </c>
      <c r="D725">
        <v>2</v>
      </c>
      <c r="E725">
        <v>16690</v>
      </c>
      <c r="F725" t="s">
        <v>50</v>
      </c>
      <c r="G725" s="1">
        <v>46050</v>
      </c>
      <c r="H725">
        <f t="shared" si="22"/>
        <v>33380</v>
      </c>
      <c r="I725" t="str">
        <f t="shared" si="23"/>
        <v>January</v>
      </c>
    </row>
    <row r="726" spans="1:9" x14ac:dyDescent="0.3">
      <c r="A726" t="s">
        <v>760</v>
      </c>
      <c r="B726" t="s">
        <v>72</v>
      </c>
      <c r="C726" t="s">
        <v>13</v>
      </c>
      <c r="D726">
        <v>1</v>
      </c>
      <c r="E726">
        <v>2052.3200000000002</v>
      </c>
      <c r="F726" t="s">
        <v>22</v>
      </c>
      <c r="G726" s="1">
        <v>46103</v>
      </c>
      <c r="H726">
        <f t="shared" si="22"/>
        <v>2052.3200000000002</v>
      </c>
      <c r="I726" t="str">
        <f t="shared" si="23"/>
        <v>March</v>
      </c>
    </row>
    <row r="727" spans="1:9" x14ac:dyDescent="0.3">
      <c r="A727" t="s">
        <v>761</v>
      </c>
      <c r="B727" t="s">
        <v>28</v>
      </c>
      <c r="C727" t="s">
        <v>9</v>
      </c>
      <c r="D727">
        <v>1</v>
      </c>
      <c r="E727">
        <v>5034.92</v>
      </c>
      <c r="F727" t="s">
        <v>29</v>
      </c>
      <c r="G727" s="1">
        <v>46138</v>
      </c>
      <c r="H727">
        <f t="shared" si="22"/>
        <v>5034.92</v>
      </c>
      <c r="I727" t="str">
        <f t="shared" si="23"/>
        <v>April</v>
      </c>
    </row>
    <row r="728" spans="1:9" x14ac:dyDescent="0.3">
      <c r="A728" t="s">
        <v>762</v>
      </c>
      <c r="B728" t="s">
        <v>24</v>
      </c>
      <c r="C728" t="s">
        <v>25</v>
      </c>
      <c r="D728">
        <v>4</v>
      </c>
      <c r="E728">
        <v>761.45</v>
      </c>
      <c r="F728" t="s">
        <v>18</v>
      </c>
      <c r="G728" s="1">
        <v>46046</v>
      </c>
      <c r="H728">
        <f t="shared" si="22"/>
        <v>3045.8</v>
      </c>
      <c r="I728" t="str">
        <f t="shared" si="23"/>
        <v>January</v>
      </c>
    </row>
    <row r="729" spans="1:9" x14ac:dyDescent="0.3">
      <c r="A729" t="s">
        <v>763</v>
      </c>
      <c r="B729" t="s">
        <v>72</v>
      </c>
      <c r="C729" t="s">
        <v>13</v>
      </c>
      <c r="D729">
        <v>3</v>
      </c>
      <c r="E729">
        <v>2343.61</v>
      </c>
      <c r="F729" t="s">
        <v>50</v>
      </c>
      <c r="G729" s="1">
        <v>46033</v>
      </c>
      <c r="H729">
        <f t="shared" si="22"/>
        <v>7030.83</v>
      </c>
      <c r="I729" t="str">
        <f t="shared" si="23"/>
        <v>January</v>
      </c>
    </row>
    <row r="730" spans="1:9" x14ac:dyDescent="0.3">
      <c r="A730" t="s">
        <v>764</v>
      </c>
      <c r="B730" t="s">
        <v>12</v>
      </c>
      <c r="C730" t="s">
        <v>13</v>
      </c>
      <c r="D730">
        <v>3</v>
      </c>
      <c r="E730">
        <v>1394.5</v>
      </c>
      <c r="F730" t="s">
        <v>29</v>
      </c>
      <c r="G730" s="1">
        <v>46114</v>
      </c>
      <c r="H730">
        <f t="shared" si="22"/>
        <v>4183.5</v>
      </c>
      <c r="I730" t="str">
        <f t="shared" si="23"/>
        <v>April</v>
      </c>
    </row>
    <row r="731" spans="1:9" x14ac:dyDescent="0.3">
      <c r="A731" t="s">
        <v>765</v>
      </c>
      <c r="B731" t="s">
        <v>28</v>
      </c>
      <c r="C731" t="s">
        <v>9</v>
      </c>
      <c r="D731">
        <v>5</v>
      </c>
      <c r="E731">
        <v>4548.04</v>
      </c>
      <c r="F731" t="s">
        <v>10</v>
      </c>
      <c r="G731" s="1">
        <v>46089</v>
      </c>
      <c r="H731">
        <f t="shared" si="22"/>
        <v>22740.2</v>
      </c>
      <c r="I731" t="str">
        <f t="shared" si="23"/>
        <v>March</v>
      </c>
    </row>
    <row r="732" spans="1:9" x14ac:dyDescent="0.3">
      <c r="A732" t="s">
        <v>766</v>
      </c>
      <c r="B732" t="s">
        <v>38</v>
      </c>
      <c r="C732" t="s">
        <v>39</v>
      </c>
      <c r="D732">
        <v>2</v>
      </c>
      <c r="E732">
        <v>5890.41</v>
      </c>
      <c r="F732" t="s">
        <v>48</v>
      </c>
      <c r="G732" s="1">
        <v>46138</v>
      </c>
      <c r="H732">
        <f t="shared" si="22"/>
        <v>11780.82</v>
      </c>
      <c r="I732" t="str">
        <f t="shared" si="23"/>
        <v>April</v>
      </c>
    </row>
    <row r="733" spans="1:9" x14ac:dyDescent="0.3">
      <c r="A733" t="s">
        <v>767</v>
      </c>
      <c r="B733" t="s">
        <v>80</v>
      </c>
      <c r="C733" t="s">
        <v>39</v>
      </c>
      <c r="D733">
        <v>5</v>
      </c>
      <c r="E733">
        <v>3989.88</v>
      </c>
      <c r="F733" t="s">
        <v>22</v>
      </c>
      <c r="G733" s="1">
        <v>46049</v>
      </c>
      <c r="H733">
        <f t="shared" si="22"/>
        <v>19949.400000000001</v>
      </c>
      <c r="I733" t="str">
        <f t="shared" si="23"/>
        <v>January</v>
      </c>
    </row>
    <row r="734" spans="1:9" x14ac:dyDescent="0.3">
      <c r="A734" t="s">
        <v>768</v>
      </c>
      <c r="B734" t="s">
        <v>62</v>
      </c>
      <c r="C734" t="s">
        <v>25</v>
      </c>
      <c r="D734">
        <v>2</v>
      </c>
      <c r="E734">
        <v>1847.66</v>
      </c>
      <c r="F734" t="s">
        <v>46</v>
      </c>
      <c r="G734" s="1">
        <v>46079</v>
      </c>
      <c r="H734">
        <f t="shared" si="22"/>
        <v>3695.32</v>
      </c>
      <c r="I734" t="str">
        <f t="shared" si="23"/>
        <v>February</v>
      </c>
    </row>
    <row r="735" spans="1:9" x14ac:dyDescent="0.3">
      <c r="A735" t="s">
        <v>769</v>
      </c>
      <c r="B735" t="s">
        <v>72</v>
      </c>
      <c r="C735" t="s">
        <v>13</v>
      </c>
      <c r="D735">
        <v>2</v>
      </c>
      <c r="E735">
        <v>2342.42</v>
      </c>
      <c r="F735" t="s">
        <v>32</v>
      </c>
      <c r="G735" s="1">
        <v>46198</v>
      </c>
      <c r="H735">
        <f t="shared" si="22"/>
        <v>4684.84</v>
      </c>
      <c r="I735" t="str">
        <f t="shared" si="23"/>
        <v>June</v>
      </c>
    </row>
    <row r="736" spans="1:9" x14ac:dyDescent="0.3">
      <c r="A736" t="s">
        <v>770</v>
      </c>
      <c r="B736" t="s">
        <v>8</v>
      </c>
      <c r="C736" t="s">
        <v>9</v>
      </c>
      <c r="D736">
        <v>1</v>
      </c>
      <c r="E736">
        <v>1829.64</v>
      </c>
      <c r="F736" t="s">
        <v>10</v>
      </c>
      <c r="G736" s="1">
        <v>46042</v>
      </c>
      <c r="H736">
        <f t="shared" si="22"/>
        <v>1829.64</v>
      </c>
      <c r="I736" t="str">
        <f t="shared" si="23"/>
        <v>January</v>
      </c>
    </row>
    <row r="737" spans="1:9" x14ac:dyDescent="0.3">
      <c r="A737" t="s">
        <v>771</v>
      </c>
      <c r="B737" t="s">
        <v>91</v>
      </c>
      <c r="C737" t="s">
        <v>13</v>
      </c>
      <c r="D737">
        <v>1</v>
      </c>
      <c r="E737">
        <v>51675.25</v>
      </c>
      <c r="F737" t="s">
        <v>22</v>
      </c>
      <c r="G737" s="1">
        <v>46055</v>
      </c>
      <c r="H737">
        <f t="shared" si="22"/>
        <v>51675.25</v>
      </c>
      <c r="I737" t="str">
        <f t="shared" si="23"/>
        <v>February</v>
      </c>
    </row>
    <row r="738" spans="1:9" x14ac:dyDescent="0.3">
      <c r="A738" t="s">
        <v>772</v>
      </c>
      <c r="B738" t="s">
        <v>31</v>
      </c>
      <c r="C738" t="s">
        <v>13</v>
      </c>
      <c r="D738">
        <v>3</v>
      </c>
      <c r="E738">
        <v>16641.099999999999</v>
      </c>
      <c r="F738" t="s">
        <v>22</v>
      </c>
      <c r="G738" s="1">
        <v>46035</v>
      </c>
      <c r="H738">
        <f t="shared" si="22"/>
        <v>49923.299999999996</v>
      </c>
      <c r="I738" t="str">
        <f t="shared" si="23"/>
        <v>January</v>
      </c>
    </row>
    <row r="739" spans="1:9" x14ac:dyDescent="0.3">
      <c r="A739" t="s">
        <v>773</v>
      </c>
      <c r="B739" t="s">
        <v>72</v>
      </c>
      <c r="C739" t="s">
        <v>13</v>
      </c>
      <c r="D739">
        <v>5</v>
      </c>
      <c r="E739">
        <v>2170.59</v>
      </c>
      <c r="F739" t="s">
        <v>48</v>
      </c>
      <c r="G739" s="1">
        <v>46150</v>
      </c>
      <c r="H739">
        <f t="shared" si="22"/>
        <v>10852.95</v>
      </c>
      <c r="I739" t="str">
        <f t="shared" si="23"/>
        <v>May</v>
      </c>
    </row>
    <row r="740" spans="1:9" x14ac:dyDescent="0.3">
      <c r="A740" t="s">
        <v>774</v>
      </c>
      <c r="B740" t="s">
        <v>91</v>
      </c>
      <c r="C740" t="s">
        <v>13</v>
      </c>
      <c r="D740">
        <v>4</v>
      </c>
      <c r="E740">
        <v>57015.34</v>
      </c>
      <c r="F740" t="s">
        <v>26</v>
      </c>
      <c r="G740" s="1">
        <v>46113</v>
      </c>
      <c r="H740">
        <f t="shared" si="22"/>
        <v>228061.36</v>
      </c>
      <c r="I740" t="str">
        <f t="shared" si="23"/>
        <v>April</v>
      </c>
    </row>
    <row r="741" spans="1:9" x14ac:dyDescent="0.3">
      <c r="A741" t="s">
        <v>775</v>
      </c>
      <c r="B741" t="s">
        <v>12</v>
      </c>
      <c r="C741" t="s">
        <v>13</v>
      </c>
      <c r="D741">
        <v>2</v>
      </c>
      <c r="E741">
        <v>1432.49</v>
      </c>
      <c r="F741" t="s">
        <v>22</v>
      </c>
      <c r="G741" s="1">
        <v>46061</v>
      </c>
      <c r="H741">
        <f t="shared" si="22"/>
        <v>2864.98</v>
      </c>
      <c r="I741" t="str">
        <f t="shared" si="23"/>
        <v>February</v>
      </c>
    </row>
    <row r="742" spans="1:9" x14ac:dyDescent="0.3">
      <c r="A742" t="s">
        <v>776</v>
      </c>
      <c r="B742" t="s">
        <v>91</v>
      </c>
      <c r="C742" t="s">
        <v>13</v>
      </c>
      <c r="D742">
        <v>5</v>
      </c>
      <c r="E742">
        <v>56310.94</v>
      </c>
      <c r="F742" t="s">
        <v>29</v>
      </c>
      <c r="G742" s="1">
        <v>46188</v>
      </c>
      <c r="H742">
        <f t="shared" si="22"/>
        <v>281554.7</v>
      </c>
      <c r="I742" t="str">
        <f t="shared" si="23"/>
        <v>June</v>
      </c>
    </row>
    <row r="743" spans="1:9" x14ac:dyDescent="0.3">
      <c r="A743" t="s">
        <v>777</v>
      </c>
      <c r="B743" t="s">
        <v>24</v>
      </c>
      <c r="C743" t="s">
        <v>25</v>
      </c>
      <c r="D743">
        <v>4</v>
      </c>
      <c r="E743">
        <v>784.94</v>
      </c>
      <c r="F743" t="s">
        <v>14</v>
      </c>
      <c r="G743" s="1">
        <v>46145</v>
      </c>
      <c r="H743">
        <f t="shared" si="22"/>
        <v>3139.76</v>
      </c>
      <c r="I743" t="str">
        <f t="shared" si="23"/>
        <v>May</v>
      </c>
    </row>
    <row r="744" spans="1:9" x14ac:dyDescent="0.3">
      <c r="A744" t="s">
        <v>778</v>
      </c>
      <c r="B744" t="s">
        <v>91</v>
      </c>
      <c r="C744" t="s">
        <v>13</v>
      </c>
      <c r="D744">
        <v>1</v>
      </c>
      <c r="E744">
        <v>52577.54</v>
      </c>
      <c r="F744" t="s">
        <v>26</v>
      </c>
      <c r="G744" s="1">
        <v>46130</v>
      </c>
      <c r="H744">
        <f t="shared" si="22"/>
        <v>52577.54</v>
      </c>
      <c r="I744" t="str">
        <f t="shared" si="23"/>
        <v>April</v>
      </c>
    </row>
    <row r="745" spans="1:9" x14ac:dyDescent="0.3">
      <c r="A745" t="s">
        <v>779</v>
      </c>
      <c r="B745" t="s">
        <v>12</v>
      </c>
      <c r="C745" t="s">
        <v>13</v>
      </c>
      <c r="D745">
        <v>5</v>
      </c>
      <c r="E745">
        <v>1424.74</v>
      </c>
      <c r="F745" t="s">
        <v>14</v>
      </c>
      <c r="G745" s="1">
        <v>46027</v>
      </c>
      <c r="H745">
        <f t="shared" si="22"/>
        <v>7123.7</v>
      </c>
      <c r="I745" t="str">
        <f t="shared" si="23"/>
        <v>January</v>
      </c>
    </row>
    <row r="746" spans="1:9" x14ac:dyDescent="0.3">
      <c r="A746" t="s">
        <v>780</v>
      </c>
      <c r="B746" t="s">
        <v>28</v>
      </c>
      <c r="C746" t="s">
        <v>9</v>
      </c>
      <c r="D746">
        <v>3</v>
      </c>
      <c r="E746">
        <v>4978.6899999999996</v>
      </c>
      <c r="F746" t="s">
        <v>22</v>
      </c>
      <c r="G746" s="1">
        <v>46111</v>
      </c>
      <c r="H746">
        <f t="shared" si="22"/>
        <v>14936.07</v>
      </c>
      <c r="I746" t="str">
        <f t="shared" si="23"/>
        <v>March</v>
      </c>
    </row>
    <row r="747" spans="1:9" x14ac:dyDescent="0.3">
      <c r="A747" t="s">
        <v>781</v>
      </c>
      <c r="B747" t="s">
        <v>16</v>
      </c>
      <c r="C747" t="s">
        <v>17</v>
      </c>
      <c r="D747">
        <v>5</v>
      </c>
      <c r="E747">
        <v>433.94</v>
      </c>
      <c r="F747" t="s">
        <v>10</v>
      </c>
      <c r="G747" s="1">
        <v>46069</v>
      </c>
      <c r="H747">
        <f t="shared" si="22"/>
        <v>2169.6999999999998</v>
      </c>
      <c r="I747" t="str">
        <f t="shared" si="23"/>
        <v>February</v>
      </c>
    </row>
    <row r="748" spans="1:9" x14ac:dyDescent="0.3">
      <c r="A748" t="s">
        <v>782</v>
      </c>
      <c r="B748" t="s">
        <v>91</v>
      </c>
      <c r="C748" t="s">
        <v>13</v>
      </c>
      <c r="D748">
        <v>3</v>
      </c>
      <c r="E748">
        <v>56068.28</v>
      </c>
      <c r="F748" t="s">
        <v>46</v>
      </c>
      <c r="G748" s="1">
        <v>46094</v>
      </c>
      <c r="H748">
        <f t="shared" si="22"/>
        <v>168204.84</v>
      </c>
      <c r="I748" t="str">
        <f t="shared" si="23"/>
        <v>March</v>
      </c>
    </row>
    <row r="749" spans="1:9" x14ac:dyDescent="0.3">
      <c r="A749" t="s">
        <v>783</v>
      </c>
      <c r="B749" t="s">
        <v>91</v>
      </c>
      <c r="C749" t="s">
        <v>13</v>
      </c>
      <c r="D749">
        <v>4</v>
      </c>
      <c r="E749">
        <v>55323.76</v>
      </c>
      <c r="F749" t="s">
        <v>50</v>
      </c>
      <c r="G749" s="1">
        <v>46082</v>
      </c>
      <c r="H749">
        <f t="shared" si="22"/>
        <v>221295.04</v>
      </c>
      <c r="I749" t="str">
        <f t="shared" si="23"/>
        <v>March</v>
      </c>
    </row>
    <row r="750" spans="1:9" x14ac:dyDescent="0.3">
      <c r="A750" t="s">
        <v>784</v>
      </c>
      <c r="B750" t="s">
        <v>72</v>
      </c>
      <c r="C750" t="s">
        <v>13</v>
      </c>
      <c r="D750">
        <v>1</v>
      </c>
      <c r="E750">
        <v>2089.06</v>
      </c>
      <c r="F750" t="s">
        <v>29</v>
      </c>
      <c r="G750" s="1">
        <v>46091</v>
      </c>
      <c r="H750">
        <f t="shared" si="22"/>
        <v>2089.06</v>
      </c>
      <c r="I750" t="str">
        <f t="shared" si="23"/>
        <v>March</v>
      </c>
    </row>
    <row r="751" spans="1:9" x14ac:dyDescent="0.3">
      <c r="A751" t="s">
        <v>785</v>
      </c>
      <c r="B751" t="s">
        <v>80</v>
      </c>
      <c r="C751" t="s">
        <v>39</v>
      </c>
      <c r="D751">
        <v>1</v>
      </c>
      <c r="E751">
        <v>4421.8</v>
      </c>
      <c r="F751" t="s">
        <v>29</v>
      </c>
      <c r="G751" s="1">
        <v>46170</v>
      </c>
      <c r="H751">
        <f t="shared" si="22"/>
        <v>4421.8</v>
      </c>
      <c r="I751" t="str">
        <f t="shared" si="23"/>
        <v>May</v>
      </c>
    </row>
    <row r="752" spans="1:9" x14ac:dyDescent="0.3">
      <c r="A752" t="s">
        <v>786</v>
      </c>
      <c r="B752" t="s">
        <v>38</v>
      </c>
      <c r="C752" t="s">
        <v>39</v>
      </c>
      <c r="D752">
        <v>4</v>
      </c>
      <c r="E752">
        <v>6311.25</v>
      </c>
      <c r="F752" t="s">
        <v>26</v>
      </c>
      <c r="G752" s="1">
        <v>46068</v>
      </c>
      <c r="H752">
        <f t="shared" si="22"/>
        <v>25245</v>
      </c>
      <c r="I752" t="str">
        <f t="shared" si="23"/>
        <v>February</v>
      </c>
    </row>
    <row r="753" spans="1:9" x14ac:dyDescent="0.3">
      <c r="A753" t="s">
        <v>787</v>
      </c>
      <c r="B753" t="s">
        <v>12</v>
      </c>
      <c r="C753" t="s">
        <v>13</v>
      </c>
      <c r="D753">
        <v>5</v>
      </c>
      <c r="E753">
        <v>1445.4</v>
      </c>
      <c r="F753" t="s">
        <v>32</v>
      </c>
      <c r="G753" s="1">
        <v>46174</v>
      </c>
      <c r="H753">
        <f t="shared" si="22"/>
        <v>7227</v>
      </c>
      <c r="I753" t="str">
        <f t="shared" si="23"/>
        <v>June</v>
      </c>
    </row>
    <row r="754" spans="1:9" x14ac:dyDescent="0.3">
      <c r="A754" t="s">
        <v>788</v>
      </c>
      <c r="B754" t="s">
        <v>91</v>
      </c>
      <c r="C754" t="s">
        <v>13</v>
      </c>
      <c r="D754">
        <v>3</v>
      </c>
      <c r="E754">
        <v>59923.15</v>
      </c>
      <c r="F754" t="s">
        <v>50</v>
      </c>
      <c r="G754" s="1">
        <v>46059</v>
      </c>
      <c r="H754">
        <f t="shared" si="22"/>
        <v>179769.45</v>
      </c>
      <c r="I754" t="str">
        <f t="shared" si="23"/>
        <v>February</v>
      </c>
    </row>
    <row r="755" spans="1:9" x14ac:dyDescent="0.3">
      <c r="A755" t="s">
        <v>789</v>
      </c>
      <c r="B755" t="s">
        <v>16</v>
      </c>
      <c r="C755" t="s">
        <v>17</v>
      </c>
      <c r="D755">
        <v>2</v>
      </c>
      <c r="E755">
        <v>480.3</v>
      </c>
      <c r="F755" t="s">
        <v>22</v>
      </c>
      <c r="G755" s="1">
        <v>46161</v>
      </c>
      <c r="H755">
        <f t="shared" si="22"/>
        <v>960.6</v>
      </c>
      <c r="I755" t="str">
        <f t="shared" si="23"/>
        <v>May</v>
      </c>
    </row>
    <row r="756" spans="1:9" x14ac:dyDescent="0.3">
      <c r="A756" t="s">
        <v>790</v>
      </c>
      <c r="B756" t="s">
        <v>24</v>
      </c>
      <c r="C756" t="s">
        <v>25</v>
      </c>
      <c r="D756">
        <v>2</v>
      </c>
      <c r="E756">
        <v>797.47</v>
      </c>
      <c r="F756" t="s">
        <v>18</v>
      </c>
      <c r="G756" s="1">
        <v>46037</v>
      </c>
      <c r="H756">
        <f t="shared" si="22"/>
        <v>1594.94</v>
      </c>
      <c r="I756" t="str">
        <f t="shared" si="23"/>
        <v>January</v>
      </c>
    </row>
    <row r="757" spans="1:9" x14ac:dyDescent="0.3">
      <c r="A757" t="s">
        <v>791</v>
      </c>
      <c r="B757" t="s">
        <v>12</v>
      </c>
      <c r="C757" t="s">
        <v>13</v>
      </c>
      <c r="D757">
        <v>5</v>
      </c>
      <c r="E757">
        <v>1415.64</v>
      </c>
      <c r="F757" t="s">
        <v>14</v>
      </c>
      <c r="G757" s="1">
        <v>46145</v>
      </c>
      <c r="H757">
        <f t="shared" si="22"/>
        <v>7078.2000000000007</v>
      </c>
      <c r="I757" t="str">
        <f t="shared" si="23"/>
        <v>May</v>
      </c>
    </row>
    <row r="758" spans="1:9" x14ac:dyDescent="0.3">
      <c r="A758" t="s">
        <v>792</v>
      </c>
      <c r="B758" t="s">
        <v>91</v>
      </c>
      <c r="C758" t="s">
        <v>13</v>
      </c>
      <c r="D758">
        <v>3</v>
      </c>
      <c r="E758">
        <v>59596.86</v>
      </c>
      <c r="F758" t="s">
        <v>29</v>
      </c>
      <c r="G758" s="1">
        <v>46056</v>
      </c>
      <c r="H758">
        <f t="shared" si="22"/>
        <v>178790.58000000002</v>
      </c>
      <c r="I758" t="str">
        <f t="shared" si="23"/>
        <v>February</v>
      </c>
    </row>
    <row r="759" spans="1:9" x14ac:dyDescent="0.3">
      <c r="A759" t="s">
        <v>793</v>
      </c>
      <c r="B759" t="s">
        <v>55</v>
      </c>
      <c r="C759" t="s">
        <v>25</v>
      </c>
      <c r="D759">
        <v>2</v>
      </c>
      <c r="E759">
        <v>2708.31</v>
      </c>
      <c r="F759" t="s">
        <v>32</v>
      </c>
      <c r="G759" s="1">
        <v>46038</v>
      </c>
      <c r="H759">
        <f t="shared" si="22"/>
        <v>5416.62</v>
      </c>
      <c r="I759" t="str">
        <f t="shared" si="23"/>
        <v>January</v>
      </c>
    </row>
    <row r="760" spans="1:9" x14ac:dyDescent="0.3">
      <c r="A760" t="s">
        <v>794</v>
      </c>
      <c r="B760" t="s">
        <v>91</v>
      </c>
      <c r="C760" t="s">
        <v>13</v>
      </c>
      <c r="D760">
        <v>2</v>
      </c>
      <c r="E760">
        <v>55952.7</v>
      </c>
      <c r="F760" t="s">
        <v>26</v>
      </c>
      <c r="G760" s="1">
        <v>46051</v>
      </c>
      <c r="H760">
        <f t="shared" si="22"/>
        <v>111905.4</v>
      </c>
      <c r="I760" t="str">
        <f t="shared" si="23"/>
        <v>January</v>
      </c>
    </row>
    <row r="761" spans="1:9" x14ac:dyDescent="0.3">
      <c r="A761" t="s">
        <v>795</v>
      </c>
      <c r="B761" t="s">
        <v>38</v>
      </c>
      <c r="C761" t="s">
        <v>39</v>
      </c>
      <c r="D761">
        <v>5</v>
      </c>
      <c r="E761">
        <v>6968.87</v>
      </c>
      <c r="F761" t="s">
        <v>18</v>
      </c>
      <c r="G761" s="1">
        <v>46118</v>
      </c>
      <c r="H761">
        <f t="shared" si="22"/>
        <v>34844.35</v>
      </c>
      <c r="I761" t="str">
        <f t="shared" si="23"/>
        <v>April</v>
      </c>
    </row>
    <row r="762" spans="1:9" x14ac:dyDescent="0.3">
      <c r="A762" t="s">
        <v>796</v>
      </c>
      <c r="B762" t="s">
        <v>21</v>
      </c>
      <c r="C762" t="s">
        <v>13</v>
      </c>
      <c r="D762">
        <v>4</v>
      </c>
      <c r="E762">
        <v>28481.69</v>
      </c>
      <c r="F762" t="s">
        <v>32</v>
      </c>
      <c r="G762" s="1">
        <v>46100</v>
      </c>
      <c r="H762">
        <f t="shared" si="22"/>
        <v>113926.76</v>
      </c>
      <c r="I762" t="str">
        <f t="shared" si="23"/>
        <v>March</v>
      </c>
    </row>
    <row r="763" spans="1:9" x14ac:dyDescent="0.3">
      <c r="A763" t="s">
        <v>797</v>
      </c>
      <c r="B763" t="s">
        <v>55</v>
      </c>
      <c r="C763" t="s">
        <v>25</v>
      </c>
      <c r="D763">
        <v>2</v>
      </c>
      <c r="E763">
        <v>2736.84</v>
      </c>
      <c r="F763" t="s">
        <v>48</v>
      </c>
      <c r="G763" s="1">
        <v>46186</v>
      </c>
      <c r="H763">
        <f t="shared" si="22"/>
        <v>5473.68</v>
      </c>
      <c r="I763" t="str">
        <f t="shared" si="23"/>
        <v>June</v>
      </c>
    </row>
    <row r="764" spans="1:9" x14ac:dyDescent="0.3">
      <c r="A764" t="s">
        <v>798</v>
      </c>
      <c r="B764" t="s">
        <v>44</v>
      </c>
      <c r="C764" t="s">
        <v>39</v>
      </c>
      <c r="D764">
        <v>3</v>
      </c>
      <c r="E764">
        <v>3271.94</v>
      </c>
      <c r="F764" t="s">
        <v>14</v>
      </c>
      <c r="G764" s="1">
        <v>46200</v>
      </c>
      <c r="H764">
        <f t="shared" si="22"/>
        <v>9815.82</v>
      </c>
      <c r="I764" t="str">
        <f t="shared" si="23"/>
        <v>June</v>
      </c>
    </row>
    <row r="765" spans="1:9" x14ac:dyDescent="0.3">
      <c r="A765" t="s">
        <v>799</v>
      </c>
      <c r="B765" t="s">
        <v>16</v>
      </c>
      <c r="C765" t="s">
        <v>17</v>
      </c>
      <c r="D765">
        <v>3</v>
      </c>
      <c r="E765">
        <v>425.09</v>
      </c>
      <c r="F765" t="s">
        <v>50</v>
      </c>
      <c r="G765" s="1">
        <v>46067</v>
      </c>
      <c r="H765">
        <f t="shared" si="22"/>
        <v>1275.27</v>
      </c>
      <c r="I765" t="str">
        <f t="shared" si="23"/>
        <v>February</v>
      </c>
    </row>
    <row r="766" spans="1:9" x14ac:dyDescent="0.3">
      <c r="A766" t="s">
        <v>800</v>
      </c>
      <c r="B766" t="s">
        <v>28</v>
      </c>
      <c r="C766" t="s">
        <v>9</v>
      </c>
      <c r="D766">
        <v>3</v>
      </c>
      <c r="E766">
        <v>5232.95</v>
      </c>
      <c r="F766" t="s">
        <v>10</v>
      </c>
      <c r="G766" s="1">
        <v>46055</v>
      </c>
      <c r="H766">
        <f t="shared" si="22"/>
        <v>15698.849999999999</v>
      </c>
      <c r="I766" t="str">
        <f t="shared" si="23"/>
        <v>February</v>
      </c>
    </row>
    <row r="767" spans="1:9" x14ac:dyDescent="0.3">
      <c r="A767" t="s">
        <v>801</v>
      </c>
      <c r="B767" t="s">
        <v>72</v>
      </c>
      <c r="C767" t="s">
        <v>13</v>
      </c>
      <c r="D767">
        <v>1</v>
      </c>
      <c r="E767">
        <v>2397.4699999999998</v>
      </c>
      <c r="F767" t="s">
        <v>50</v>
      </c>
      <c r="G767" s="1">
        <v>46123</v>
      </c>
      <c r="H767">
        <f t="shared" si="22"/>
        <v>2397.4699999999998</v>
      </c>
      <c r="I767" t="str">
        <f t="shared" si="23"/>
        <v>April</v>
      </c>
    </row>
    <row r="768" spans="1:9" x14ac:dyDescent="0.3">
      <c r="A768" t="s">
        <v>802</v>
      </c>
      <c r="B768" t="s">
        <v>38</v>
      </c>
      <c r="C768" t="s">
        <v>39</v>
      </c>
      <c r="D768">
        <v>5</v>
      </c>
      <c r="E768">
        <v>5892.1</v>
      </c>
      <c r="F768" t="s">
        <v>50</v>
      </c>
      <c r="G768" s="1">
        <v>46104</v>
      </c>
      <c r="H768">
        <f t="shared" si="22"/>
        <v>29460.5</v>
      </c>
      <c r="I768" t="str">
        <f t="shared" si="23"/>
        <v>March</v>
      </c>
    </row>
    <row r="769" spans="1:9" x14ac:dyDescent="0.3">
      <c r="A769" t="s">
        <v>803</v>
      </c>
      <c r="B769" t="s">
        <v>62</v>
      </c>
      <c r="C769" t="s">
        <v>25</v>
      </c>
      <c r="D769">
        <v>5</v>
      </c>
      <c r="E769">
        <v>1887.41</v>
      </c>
      <c r="F769" t="s">
        <v>50</v>
      </c>
      <c r="G769" s="1">
        <v>46049</v>
      </c>
      <c r="H769">
        <f t="shared" si="22"/>
        <v>9437.0500000000011</v>
      </c>
      <c r="I769" t="str">
        <f t="shared" si="23"/>
        <v>January</v>
      </c>
    </row>
    <row r="770" spans="1:9" x14ac:dyDescent="0.3">
      <c r="A770" t="s">
        <v>804</v>
      </c>
      <c r="B770" t="s">
        <v>44</v>
      </c>
      <c r="C770" t="s">
        <v>39</v>
      </c>
      <c r="D770">
        <v>2</v>
      </c>
      <c r="E770">
        <v>3381.82</v>
      </c>
      <c r="F770" t="s">
        <v>18</v>
      </c>
      <c r="G770" s="1">
        <v>46083</v>
      </c>
      <c r="H770">
        <f t="shared" si="22"/>
        <v>6763.64</v>
      </c>
      <c r="I770" t="str">
        <f t="shared" si="23"/>
        <v>March</v>
      </c>
    </row>
    <row r="771" spans="1:9" x14ac:dyDescent="0.3">
      <c r="A771" t="s">
        <v>805</v>
      </c>
      <c r="B771" t="s">
        <v>55</v>
      </c>
      <c r="C771" t="s">
        <v>25</v>
      </c>
      <c r="D771">
        <v>3</v>
      </c>
      <c r="E771">
        <v>2333.0100000000002</v>
      </c>
      <c r="F771" t="s">
        <v>18</v>
      </c>
      <c r="G771" s="1">
        <v>46194</v>
      </c>
      <c r="H771">
        <f t="shared" ref="H771:H834" si="24">D771*E771</f>
        <v>6999.0300000000007</v>
      </c>
      <c r="I771" t="str">
        <f t="shared" ref="I771:I834" si="25">TEXT(G771, "mmmm")</f>
        <v>June</v>
      </c>
    </row>
    <row r="772" spans="1:9" x14ac:dyDescent="0.3">
      <c r="A772" t="s">
        <v>806</v>
      </c>
      <c r="B772" t="s">
        <v>8</v>
      </c>
      <c r="C772" t="s">
        <v>9</v>
      </c>
      <c r="D772">
        <v>3</v>
      </c>
      <c r="E772">
        <v>1780.79</v>
      </c>
      <c r="F772" t="s">
        <v>10</v>
      </c>
      <c r="G772" s="1">
        <v>46076</v>
      </c>
      <c r="H772">
        <f t="shared" si="24"/>
        <v>5342.37</v>
      </c>
      <c r="I772" t="str">
        <f t="shared" si="25"/>
        <v>February</v>
      </c>
    </row>
    <row r="773" spans="1:9" x14ac:dyDescent="0.3">
      <c r="A773" t="s">
        <v>807</v>
      </c>
      <c r="B773" t="s">
        <v>12</v>
      </c>
      <c r="C773" t="s">
        <v>13</v>
      </c>
      <c r="D773">
        <v>1</v>
      </c>
      <c r="E773">
        <v>1455.14</v>
      </c>
      <c r="F773" t="s">
        <v>18</v>
      </c>
      <c r="G773" s="1">
        <v>46023</v>
      </c>
      <c r="H773">
        <f t="shared" si="24"/>
        <v>1455.14</v>
      </c>
      <c r="I773" t="str">
        <f t="shared" si="25"/>
        <v>January</v>
      </c>
    </row>
    <row r="774" spans="1:9" x14ac:dyDescent="0.3">
      <c r="A774" t="s">
        <v>808</v>
      </c>
      <c r="B774" t="s">
        <v>91</v>
      </c>
      <c r="C774" t="s">
        <v>13</v>
      </c>
      <c r="D774">
        <v>4</v>
      </c>
      <c r="E774">
        <v>54320.42</v>
      </c>
      <c r="F774" t="s">
        <v>48</v>
      </c>
      <c r="G774" s="1">
        <v>46065</v>
      </c>
      <c r="H774">
        <f t="shared" si="24"/>
        <v>217281.68</v>
      </c>
      <c r="I774" t="str">
        <f t="shared" si="25"/>
        <v>February</v>
      </c>
    </row>
    <row r="775" spans="1:9" x14ac:dyDescent="0.3">
      <c r="A775" t="s">
        <v>809</v>
      </c>
      <c r="B775" t="s">
        <v>28</v>
      </c>
      <c r="C775" t="s">
        <v>9</v>
      </c>
      <c r="D775">
        <v>4</v>
      </c>
      <c r="E775">
        <v>5380.69</v>
      </c>
      <c r="F775" t="s">
        <v>32</v>
      </c>
      <c r="G775" s="1">
        <v>46162</v>
      </c>
      <c r="H775">
        <f t="shared" si="24"/>
        <v>21522.76</v>
      </c>
      <c r="I775" t="str">
        <f t="shared" si="25"/>
        <v>May</v>
      </c>
    </row>
    <row r="776" spans="1:9" x14ac:dyDescent="0.3">
      <c r="A776" t="s">
        <v>810</v>
      </c>
      <c r="B776" t="s">
        <v>28</v>
      </c>
      <c r="C776" t="s">
        <v>9</v>
      </c>
      <c r="D776">
        <v>1</v>
      </c>
      <c r="E776">
        <v>5327.74</v>
      </c>
      <c r="F776" t="s">
        <v>50</v>
      </c>
      <c r="G776" s="1">
        <v>46189</v>
      </c>
      <c r="H776">
        <f t="shared" si="24"/>
        <v>5327.74</v>
      </c>
      <c r="I776" t="str">
        <f t="shared" si="25"/>
        <v>June</v>
      </c>
    </row>
    <row r="777" spans="1:9" x14ac:dyDescent="0.3">
      <c r="A777" t="s">
        <v>811</v>
      </c>
      <c r="B777" t="s">
        <v>62</v>
      </c>
      <c r="C777" t="s">
        <v>25</v>
      </c>
      <c r="D777">
        <v>2</v>
      </c>
      <c r="E777">
        <v>1864.13</v>
      </c>
      <c r="F777" t="s">
        <v>18</v>
      </c>
      <c r="G777" s="1">
        <v>46031</v>
      </c>
      <c r="H777">
        <f t="shared" si="24"/>
        <v>3728.26</v>
      </c>
      <c r="I777" t="str">
        <f t="shared" si="25"/>
        <v>January</v>
      </c>
    </row>
    <row r="778" spans="1:9" x14ac:dyDescent="0.3">
      <c r="A778" t="s">
        <v>812</v>
      </c>
      <c r="B778" t="s">
        <v>24</v>
      </c>
      <c r="C778" t="s">
        <v>25</v>
      </c>
      <c r="D778">
        <v>1</v>
      </c>
      <c r="E778">
        <v>770.03</v>
      </c>
      <c r="F778" t="s">
        <v>18</v>
      </c>
      <c r="G778" s="1">
        <v>46041</v>
      </c>
      <c r="H778">
        <f t="shared" si="24"/>
        <v>770.03</v>
      </c>
      <c r="I778" t="str">
        <f t="shared" si="25"/>
        <v>January</v>
      </c>
    </row>
    <row r="779" spans="1:9" x14ac:dyDescent="0.3">
      <c r="A779" t="s">
        <v>813</v>
      </c>
      <c r="B779" t="s">
        <v>55</v>
      </c>
      <c r="C779" t="s">
        <v>25</v>
      </c>
      <c r="D779">
        <v>2</v>
      </c>
      <c r="E779">
        <v>2692.89</v>
      </c>
      <c r="F779" t="s">
        <v>26</v>
      </c>
      <c r="G779" s="1">
        <v>46042</v>
      </c>
      <c r="H779">
        <f t="shared" si="24"/>
        <v>5385.78</v>
      </c>
      <c r="I779" t="str">
        <f t="shared" si="25"/>
        <v>January</v>
      </c>
    </row>
    <row r="780" spans="1:9" x14ac:dyDescent="0.3">
      <c r="A780" t="s">
        <v>814</v>
      </c>
      <c r="B780" t="s">
        <v>80</v>
      </c>
      <c r="C780" t="s">
        <v>39</v>
      </c>
      <c r="D780">
        <v>1</v>
      </c>
      <c r="E780">
        <v>4063.88</v>
      </c>
      <c r="F780" t="s">
        <v>50</v>
      </c>
      <c r="G780" s="1">
        <v>46146</v>
      </c>
      <c r="H780">
        <f t="shared" si="24"/>
        <v>4063.88</v>
      </c>
      <c r="I780" t="str">
        <f t="shared" si="25"/>
        <v>May</v>
      </c>
    </row>
    <row r="781" spans="1:9" x14ac:dyDescent="0.3">
      <c r="A781" t="s">
        <v>815</v>
      </c>
      <c r="B781" t="s">
        <v>21</v>
      </c>
      <c r="C781" t="s">
        <v>13</v>
      </c>
      <c r="D781">
        <v>1</v>
      </c>
      <c r="E781">
        <v>27615.41</v>
      </c>
      <c r="F781" t="s">
        <v>26</v>
      </c>
      <c r="G781" s="1">
        <v>46178</v>
      </c>
      <c r="H781">
        <f t="shared" si="24"/>
        <v>27615.41</v>
      </c>
      <c r="I781" t="str">
        <f t="shared" si="25"/>
        <v>June</v>
      </c>
    </row>
    <row r="782" spans="1:9" x14ac:dyDescent="0.3">
      <c r="A782" t="s">
        <v>816</v>
      </c>
      <c r="B782" t="s">
        <v>28</v>
      </c>
      <c r="C782" t="s">
        <v>9</v>
      </c>
      <c r="D782">
        <v>2</v>
      </c>
      <c r="E782">
        <v>4552.6499999999996</v>
      </c>
      <c r="F782" t="s">
        <v>32</v>
      </c>
      <c r="G782" s="1">
        <v>46075</v>
      </c>
      <c r="H782">
        <f t="shared" si="24"/>
        <v>9105.2999999999993</v>
      </c>
      <c r="I782" t="str">
        <f t="shared" si="25"/>
        <v>February</v>
      </c>
    </row>
    <row r="783" spans="1:9" x14ac:dyDescent="0.3">
      <c r="A783" t="s">
        <v>817</v>
      </c>
      <c r="B783" t="s">
        <v>12</v>
      </c>
      <c r="C783" t="s">
        <v>13</v>
      </c>
      <c r="D783">
        <v>4</v>
      </c>
      <c r="E783">
        <v>1559.16</v>
      </c>
      <c r="F783" t="s">
        <v>14</v>
      </c>
      <c r="G783" s="1">
        <v>46090</v>
      </c>
      <c r="H783">
        <f t="shared" si="24"/>
        <v>6236.64</v>
      </c>
      <c r="I783" t="str">
        <f t="shared" si="25"/>
        <v>March</v>
      </c>
    </row>
    <row r="784" spans="1:9" x14ac:dyDescent="0.3">
      <c r="A784" t="s">
        <v>818</v>
      </c>
      <c r="B784" t="s">
        <v>8</v>
      </c>
      <c r="C784" t="s">
        <v>9</v>
      </c>
      <c r="D784">
        <v>3</v>
      </c>
      <c r="E784">
        <v>1727.06</v>
      </c>
      <c r="F784" t="s">
        <v>18</v>
      </c>
      <c r="G784" s="1">
        <v>46035</v>
      </c>
      <c r="H784">
        <f t="shared" si="24"/>
        <v>5181.18</v>
      </c>
      <c r="I784" t="str">
        <f t="shared" si="25"/>
        <v>January</v>
      </c>
    </row>
    <row r="785" spans="1:9" x14ac:dyDescent="0.3">
      <c r="A785" t="s">
        <v>819</v>
      </c>
      <c r="B785" t="s">
        <v>28</v>
      </c>
      <c r="C785" t="s">
        <v>9</v>
      </c>
      <c r="D785">
        <v>5</v>
      </c>
      <c r="E785">
        <v>5048.6499999999996</v>
      </c>
      <c r="F785" t="s">
        <v>22</v>
      </c>
      <c r="G785" s="1">
        <v>46062</v>
      </c>
      <c r="H785">
        <f t="shared" si="24"/>
        <v>25243.25</v>
      </c>
      <c r="I785" t="str">
        <f t="shared" si="25"/>
        <v>February</v>
      </c>
    </row>
    <row r="786" spans="1:9" x14ac:dyDescent="0.3">
      <c r="A786" t="s">
        <v>820</v>
      </c>
      <c r="B786" t="s">
        <v>91</v>
      </c>
      <c r="C786" t="s">
        <v>13</v>
      </c>
      <c r="D786">
        <v>3</v>
      </c>
      <c r="E786">
        <v>49541.97</v>
      </c>
      <c r="F786" t="s">
        <v>18</v>
      </c>
      <c r="G786" s="1">
        <v>46098</v>
      </c>
      <c r="H786">
        <f t="shared" si="24"/>
        <v>148625.91</v>
      </c>
      <c r="I786" t="str">
        <f t="shared" si="25"/>
        <v>March</v>
      </c>
    </row>
    <row r="787" spans="1:9" x14ac:dyDescent="0.3">
      <c r="A787" t="s">
        <v>821</v>
      </c>
      <c r="B787" t="s">
        <v>38</v>
      </c>
      <c r="C787" t="s">
        <v>39</v>
      </c>
      <c r="D787">
        <v>5</v>
      </c>
      <c r="E787">
        <v>6474.43</v>
      </c>
      <c r="F787" t="s">
        <v>18</v>
      </c>
      <c r="G787" s="1">
        <v>46029</v>
      </c>
      <c r="H787">
        <f t="shared" si="24"/>
        <v>32372.15</v>
      </c>
      <c r="I787" t="str">
        <f t="shared" si="25"/>
        <v>January</v>
      </c>
    </row>
    <row r="788" spans="1:9" x14ac:dyDescent="0.3">
      <c r="A788" t="s">
        <v>822</v>
      </c>
      <c r="B788" t="s">
        <v>12</v>
      </c>
      <c r="C788" t="s">
        <v>13</v>
      </c>
      <c r="D788">
        <v>2</v>
      </c>
      <c r="E788">
        <v>1541.46</v>
      </c>
      <c r="F788" t="s">
        <v>18</v>
      </c>
      <c r="G788" s="1">
        <v>46144</v>
      </c>
      <c r="H788">
        <f t="shared" si="24"/>
        <v>3082.92</v>
      </c>
      <c r="I788" t="str">
        <f t="shared" si="25"/>
        <v>May</v>
      </c>
    </row>
    <row r="789" spans="1:9" x14ac:dyDescent="0.3">
      <c r="A789" t="s">
        <v>823</v>
      </c>
      <c r="B789" t="s">
        <v>38</v>
      </c>
      <c r="C789" t="s">
        <v>39</v>
      </c>
      <c r="D789">
        <v>1</v>
      </c>
      <c r="E789">
        <v>6250.86</v>
      </c>
      <c r="F789" t="s">
        <v>48</v>
      </c>
      <c r="G789" s="1">
        <v>46143</v>
      </c>
      <c r="H789">
        <f t="shared" si="24"/>
        <v>6250.86</v>
      </c>
      <c r="I789" t="str">
        <f t="shared" si="25"/>
        <v>May</v>
      </c>
    </row>
    <row r="790" spans="1:9" x14ac:dyDescent="0.3">
      <c r="A790" t="s">
        <v>824</v>
      </c>
      <c r="B790" t="s">
        <v>44</v>
      </c>
      <c r="C790" t="s">
        <v>39</v>
      </c>
      <c r="D790">
        <v>3</v>
      </c>
      <c r="E790">
        <v>3213.8</v>
      </c>
      <c r="F790" t="s">
        <v>14</v>
      </c>
      <c r="G790" s="1">
        <v>46122</v>
      </c>
      <c r="H790">
        <f t="shared" si="24"/>
        <v>9641.4000000000015</v>
      </c>
      <c r="I790" t="str">
        <f t="shared" si="25"/>
        <v>April</v>
      </c>
    </row>
    <row r="791" spans="1:9" x14ac:dyDescent="0.3">
      <c r="A791" t="s">
        <v>825</v>
      </c>
      <c r="B791" t="s">
        <v>72</v>
      </c>
      <c r="C791" t="s">
        <v>13</v>
      </c>
      <c r="D791">
        <v>3</v>
      </c>
      <c r="E791">
        <v>2369.62</v>
      </c>
      <c r="F791" t="s">
        <v>32</v>
      </c>
      <c r="G791" s="1">
        <v>46070</v>
      </c>
      <c r="H791">
        <f t="shared" si="24"/>
        <v>7108.86</v>
      </c>
      <c r="I791" t="str">
        <f t="shared" si="25"/>
        <v>February</v>
      </c>
    </row>
    <row r="792" spans="1:9" x14ac:dyDescent="0.3">
      <c r="A792" t="s">
        <v>826</v>
      </c>
      <c r="B792" t="s">
        <v>44</v>
      </c>
      <c r="C792" t="s">
        <v>39</v>
      </c>
      <c r="D792">
        <v>1</v>
      </c>
      <c r="E792">
        <v>3334.31</v>
      </c>
      <c r="F792" t="s">
        <v>22</v>
      </c>
      <c r="G792" s="1">
        <v>46090</v>
      </c>
      <c r="H792">
        <f t="shared" si="24"/>
        <v>3334.31</v>
      </c>
      <c r="I792" t="str">
        <f t="shared" si="25"/>
        <v>March</v>
      </c>
    </row>
    <row r="793" spans="1:9" x14ac:dyDescent="0.3">
      <c r="A793" t="s">
        <v>827</v>
      </c>
      <c r="B793" t="s">
        <v>12</v>
      </c>
      <c r="C793" t="s">
        <v>13</v>
      </c>
      <c r="D793">
        <v>3</v>
      </c>
      <c r="E793">
        <v>1519.27</v>
      </c>
      <c r="F793" t="s">
        <v>26</v>
      </c>
      <c r="G793" s="1">
        <v>46201</v>
      </c>
      <c r="H793">
        <f t="shared" si="24"/>
        <v>4557.8099999999995</v>
      </c>
      <c r="I793" t="str">
        <f t="shared" si="25"/>
        <v>June</v>
      </c>
    </row>
    <row r="794" spans="1:9" x14ac:dyDescent="0.3">
      <c r="A794" t="s">
        <v>828</v>
      </c>
      <c r="B794" t="s">
        <v>8</v>
      </c>
      <c r="C794" t="s">
        <v>9</v>
      </c>
      <c r="D794">
        <v>1</v>
      </c>
      <c r="E794">
        <v>1650.85</v>
      </c>
      <c r="F794" t="s">
        <v>32</v>
      </c>
      <c r="G794" s="1">
        <v>46161</v>
      </c>
      <c r="H794">
        <f t="shared" si="24"/>
        <v>1650.85</v>
      </c>
      <c r="I794" t="str">
        <f t="shared" si="25"/>
        <v>May</v>
      </c>
    </row>
    <row r="795" spans="1:9" x14ac:dyDescent="0.3">
      <c r="A795" t="s">
        <v>829</v>
      </c>
      <c r="B795" t="s">
        <v>28</v>
      </c>
      <c r="C795" t="s">
        <v>9</v>
      </c>
      <c r="D795">
        <v>5</v>
      </c>
      <c r="E795">
        <v>4726.57</v>
      </c>
      <c r="F795" t="s">
        <v>46</v>
      </c>
      <c r="G795" s="1">
        <v>46122</v>
      </c>
      <c r="H795">
        <f t="shared" si="24"/>
        <v>23632.85</v>
      </c>
      <c r="I795" t="str">
        <f t="shared" si="25"/>
        <v>April</v>
      </c>
    </row>
    <row r="796" spans="1:9" x14ac:dyDescent="0.3">
      <c r="A796" t="s">
        <v>830</v>
      </c>
      <c r="B796" t="s">
        <v>38</v>
      </c>
      <c r="C796" t="s">
        <v>39</v>
      </c>
      <c r="D796">
        <v>5</v>
      </c>
      <c r="E796">
        <v>6394.22</v>
      </c>
      <c r="F796" t="s">
        <v>14</v>
      </c>
      <c r="G796" s="1">
        <v>46198</v>
      </c>
      <c r="H796">
        <f t="shared" si="24"/>
        <v>31971.100000000002</v>
      </c>
      <c r="I796" t="str">
        <f t="shared" si="25"/>
        <v>June</v>
      </c>
    </row>
    <row r="797" spans="1:9" x14ac:dyDescent="0.3">
      <c r="A797" t="s">
        <v>831</v>
      </c>
      <c r="B797" t="s">
        <v>38</v>
      </c>
      <c r="C797" t="s">
        <v>39</v>
      </c>
      <c r="D797">
        <v>4</v>
      </c>
      <c r="E797">
        <v>6594.53</v>
      </c>
      <c r="F797" t="s">
        <v>29</v>
      </c>
      <c r="G797" s="1">
        <v>46144</v>
      </c>
      <c r="H797">
        <f t="shared" si="24"/>
        <v>26378.12</v>
      </c>
      <c r="I797" t="str">
        <f t="shared" si="25"/>
        <v>May</v>
      </c>
    </row>
    <row r="798" spans="1:9" x14ac:dyDescent="0.3">
      <c r="A798" t="s">
        <v>832</v>
      </c>
      <c r="B798" t="s">
        <v>24</v>
      </c>
      <c r="C798" t="s">
        <v>25</v>
      </c>
      <c r="D798">
        <v>1</v>
      </c>
      <c r="E798">
        <v>782.19</v>
      </c>
      <c r="F798" t="s">
        <v>46</v>
      </c>
      <c r="G798" s="1">
        <v>46151</v>
      </c>
      <c r="H798">
        <f t="shared" si="24"/>
        <v>782.19</v>
      </c>
      <c r="I798" t="str">
        <f t="shared" si="25"/>
        <v>May</v>
      </c>
    </row>
    <row r="799" spans="1:9" x14ac:dyDescent="0.3">
      <c r="A799" t="s">
        <v>833</v>
      </c>
      <c r="B799" t="s">
        <v>16</v>
      </c>
      <c r="C799" t="s">
        <v>17</v>
      </c>
      <c r="D799">
        <v>5</v>
      </c>
      <c r="E799">
        <v>477.04</v>
      </c>
      <c r="F799" t="s">
        <v>50</v>
      </c>
      <c r="G799" s="1">
        <v>46060</v>
      </c>
      <c r="H799">
        <f t="shared" si="24"/>
        <v>2385.2000000000003</v>
      </c>
      <c r="I799" t="str">
        <f t="shared" si="25"/>
        <v>February</v>
      </c>
    </row>
    <row r="800" spans="1:9" x14ac:dyDescent="0.3">
      <c r="A800" t="s">
        <v>834</v>
      </c>
      <c r="B800" t="s">
        <v>31</v>
      </c>
      <c r="C800" t="s">
        <v>13</v>
      </c>
      <c r="D800">
        <v>4</v>
      </c>
      <c r="E800">
        <v>16822.36</v>
      </c>
      <c r="F800" t="s">
        <v>26</v>
      </c>
      <c r="G800" s="1">
        <v>46077</v>
      </c>
      <c r="H800">
        <f t="shared" si="24"/>
        <v>67289.440000000002</v>
      </c>
      <c r="I800" t="str">
        <f t="shared" si="25"/>
        <v>February</v>
      </c>
    </row>
    <row r="801" spans="1:9" x14ac:dyDescent="0.3">
      <c r="A801" t="s">
        <v>835</v>
      </c>
      <c r="B801" t="s">
        <v>62</v>
      </c>
      <c r="C801" t="s">
        <v>25</v>
      </c>
      <c r="D801">
        <v>2</v>
      </c>
      <c r="E801">
        <v>1849.55</v>
      </c>
      <c r="F801" t="s">
        <v>48</v>
      </c>
      <c r="G801" s="1">
        <v>46043</v>
      </c>
      <c r="H801">
        <f t="shared" si="24"/>
        <v>3699.1</v>
      </c>
      <c r="I801" t="str">
        <f t="shared" si="25"/>
        <v>January</v>
      </c>
    </row>
    <row r="802" spans="1:9" x14ac:dyDescent="0.3">
      <c r="A802" t="s">
        <v>836</v>
      </c>
      <c r="B802" t="s">
        <v>8</v>
      </c>
      <c r="C802" t="s">
        <v>9</v>
      </c>
      <c r="D802">
        <v>4</v>
      </c>
      <c r="E802">
        <v>1692.69</v>
      </c>
      <c r="F802" t="s">
        <v>26</v>
      </c>
      <c r="G802" s="1">
        <v>46175</v>
      </c>
      <c r="H802">
        <f t="shared" si="24"/>
        <v>6770.76</v>
      </c>
      <c r="I802" t="str">
        <f t="shared" si="25"/>
        <v>June</v>
      </c>
    </row>
    <row r="803" spans="1:9" x14ac:dyDescent="0.3">
      <c r="A803" t="s">
        <v>837</v>
      </c>
      <c r="B803" t="s">
        <v>24</v>
      </c>
      <c r="C803" t="s">
        <v>25</v>
      </c>
      <c r="D803">
        <v>3</v>
      </c>
      <c r="E803">
        <v>864.65</v>
      </c>
      <c r="F803" t="s">
        <v>18</v>
      </c>
      <c r="G803" s="1">
        <v>46045</v>
      </c>
      <c r="H803">
        <f t="shared" si="24"/>
        <v>2593.9499999999998</v>
      </c>
      <c r="I803" t="str">
        <f t="shared" si="25"/>
        <v>January</v>
      </c>
    </row>
    <row r="804" spans="1:9" x14ac:dyDescent="0.3">
      <c r="A804" t="s">
        <v>838</v>
      </c>
      <c r="B804" t="s">
        <v>28</v>
      </c>
      <c r="C804" t="s">
        <v>9</v>
      </c>
      <c r="D804">
        <v>5</v>
      </c>
      <c r="E804">
        <v>4896.38</v>
      </c>
      <c r="F804" t="s">
        <v>32</v>
      </c>
      <c r="G804" s="1">
        <v>46093</v>
      </c>
      <c r="H804">
        <f t="shared" si="24"/>
        <v>24481.9</v>
      </c>
      <c r="I804" t="str">
        <f t="shared" si="25"/>
        <v>March</v>
      </c>
    </row>
    <row r="805" spans="1:9" x14ac:dyDescent="0.3">
      <c r="A805" t="s">
        <v>839</v>
      </c>
      <c r="B805" t="s">
        <v>80</v>
      </c>
      <c r="C805" t="s">
        <v>39</v>
      </c>
      <c r="D805">
        <v>4</v>
      </c>
      <c r="E805">
        <v>4550.42</v>
      </c>
      <c r="F805" t="s">
        <v>46</v>
      </c>
      <c r="G805" s="1">
        <v>46202</v>
      </c>
      <c r="H805">
        <f t="shared" si="24"/>
        <v>18201.68</v>
      </c>
      <c r="I805" t="str">
        <f t="shared" si="25"/>
        <v>June</v>
      </c>
    </row>
    <row r="806" spans="1:9" x14ac:dyDescent="0.3">
      <c r="A806" t="s">
        <v>840</v>
      </c>
      <c r="B806" t="s">
        <v>16</v>
      </c>
      <c r="C806" t="s">
        <v>17</v>
      </c>
      <c r="D806">
        <v>5</v>
      </c>
      <c r="E806">
        <v>452.03</v>
      </c>
      <c r="F806" t="s">
        <v>48</v>
      </c>
      <c r="G806" s="1">
        <v>46051</v>
      </c>
      <c r="H806">
        <f t="shared" si="24"/>
        <v>2260.1499999999996</v>
      </c>
      <c r="I806" t="str">
        <f t="shared" si="25"/>
        <v>January</v>
      </c>
    </row>
    <row r="807" spans="1:9" x14ac:dyDescent="0.3">
      <c r="A807" t="s">
        <v>841</v>
      </c>
      <c r="B807" t="s">
        <v>28</v>
      </c>
      <c r="C807" t="s">
        <v>9</v>
      </c>
      <c r="D807">
        <v>2</v>
      </c>
      <c r="E807">
        <v>4647.2700000000004</v>
      </c>
      <c r="F807" t="s">
        <v>50</v>
      </c>
      <c r="G807" s="1">
        <v>46172</v>
      </c>
      <c r="H807">
        <f t="shared" si="24"/>
        <v>9294.5400000000009</v>
      </c>
      <c r="I807" t="str">
        <f t="shared" si="25"/>
        <v>May</v>
      </c>
    </row>
    <row r="808" spans="1:9" x14ac:dyDescent="0.3">
      <c r="A808" t="s">
        <v>842</v>
      </c>
      <c r="B808" t="s">
        <v>62</v>
      </c>
      <c r="C808" t="s">
        <v>25</v>
      </c>
      <c r="D808">
        <v>1</v>
      </c>
      <c r="E808">
        <v>2168.89</v>
      </c>
      <c r="F808" t="s">
        <v>50</v>
      </c>
      <c r="G808" s="1">
        <v>46048</v>
      </c>
      <c r="H808">
        <f t="shared" si="24"/>
        <v>2168.89</v>
      </c>
      <c r="I808" t="str">
        <f t="shared" si="25"/>
        <v>January</v>
      </c>
    </row>
    <row r="809" spans="1:9" x14ac:dyDescent="0.3">
      <c r="A809" t="s">
        <v>843</v>
      </c>
      <c r="B809" t="s">
        <v>62</v>
      </c>
      <c r="C809" t="s">
        <v>25</v>
      </c>
      <c r="D809">
        <v>3</v>
      </c>
      <c r="E809">
        <v>2145.92</v>
      </c>
      <c r="F809" t="s">
        <v>32</v>
      </c>
      <c r="G809" s="1">
        <v>46128</v>
      </c>
      <c r="H809">
        <f t="shared" si="24"/>
        <v>6437.76</v>
      </c>
      <c r="I809" t="str">
        <f t="shared" si="25"/>
        <v>April</v>
      </c>
    </row>
    <row r="810" spans="1:9" x14ac:dyDescent="0.3">
      <c r="A810" t="s">
        <v>844</v>
      </c>
      <c r="B810" t="s">
        <v>24</v>
      </c>
      <c r="C810" t="s">
        <v>25</v>
      </c>
      <c r="D810">
        <v>4</v>
      </c>
      <c r="E810">
        <v>823.74</v>
      </c>
      <c r="F810" t="s">
        <v>50</v>
      </c>
      <c r="G810" s="1">
        <v>46178</v>
      </c>
      <c r="H810">
        <f t="shared" si="24"/>
        <v>3294.96</v>
      </c>
      <c r="I810" t="str">
        <f t="shared" si="25"/>
        <v>June</v>
      </c>
    </row>
    <row r="811" spans="1:9" x14ac:dyDescent="0.3">
      <c r="A811" t="s">
        <v>845</v>
      </c>
      <c r="B811" t="s">
        <v>44</v>
      </c>
      <c r="C811" t="s">
        <v>39</v>
      </c>
      <c r="D811">
        <v>1</v>
      </c>
      <c r="E811">
        <v>3270.54</v>
      </c>
      <c r="F811" t="s">
        <v>48</v>
      </c>
      <c r="G811" s="1">
        <v>46059</v>
      </c>
      <c r="H811">
        <f t="shared" si="24"/>
        <v>3270.54</v>
      </c>
      <c r="I811" t="str">
        <f t="shared" si="25"/>
        <v>February</v>
      </c>
    </row>
    <row r="812" spans="1:9" x14ac:dyDescent="0.3">
      <c r="A812" t="s">
        <v>846</v>
      </c>
      <c r="B812" t="s">
        <v>16</v>
      </c>
      <c r="C812" t="s">
        <v>17</v>
      </c>
      <c r="D812">
        <v>5</v>
      </c>
      <c r="E812">
        <v>466.27</v>
      </c>
      <c r="F812" t="s">
        <v>48</v>
      </c>
      <c r="G812" s="1">
        <v>46032</v>
      </c>
      <c r="H812">
        <f t="shared" si="24"/>
        <v>2331.35</v>
      </c>
      <c r="I812" t="str">
        <f t="shared" si="25"/>
        <v>January</v>
      </c>
    </row>
    <row r="813" spans="1:9" x14ac:dyDescent="0.3">
      <c r="A813" t="s">
        <v>847</v>
      </c>
      <c r="B813" t="s">
        <v>28</v>
      </c>
      <c r="C813" t="s">
        <v>9</v>
      </c>
      <c r="D813">
        <v>3</v>
      </c>
      <c r="E813">
        <v>5189.4799999999996</v>
      </c>
      <c r="F813" t="s">
        <v>46</v>
      </c>
      <c r="G813" s="1">
        <v>46144</v>
      </c>
      <c r="H813">
        <f t="shared" si="24"/>
        <v>15568.439999999999</v>
      </c>
      <c r="I813" t="str">
        <f t="shared" si="25"/>
        <v>May</v>
      </c>
    </row>
    <row r="814" spans="1:9" x14ac:dyDescent="0.3">
      <c r="A814" t="s">
        <v>848</v>
      </c>
      <c r="B814" t="s">
        <v>24</v>
      </c>
      <c r="C814" t="s">
        <v>25</v>
      </c>
      <c r="D814">
        <v>3</v>
      </c>
      <c r="E814">
        <v>722.33</v>
      </c>
      <c r="F814" t="s">
        <v>10</v>
      </c>
      <c r="G814" s="1">
        <v>46102</v>
      </c>
      <c r="H814">
        <f t="shared" si="24"/>
        <v>2166.9900000000002</v>
      </c>
      <c r="I814" t="str">
        <f t="shared" si="25"/>
        <v>March</v>
      </c>
    </row>
    <row r="815" spans="1:9" x14ac:dyDescent="0.3">
      <c r="A815" t="s">
        <v>849</v>
      </c>
      <c r="B815" t="s">
        <v>24</v>
      </c>
      <c r="C815" t="s">
        <v>25</v>
      </c>
      <c r="D815">
        <v>4</v>
      </c>
      <c r="E815">
        <v>856.25</v>
      </c>
      <c r="F815" t="s">
        <v>18</v>
      </c>
      <c r="G815" s="1">
        <v>46081</v>
      </c>
      <c r="H815">
        <f t="shared" si="24"/>
        <v>3425</v>
      </c>
      <c r="I815" t="str">
        <f t="shared" si="25"/>
        <v>February</v>
      </c>
    </row>
    <row r="816" spans="1:9" x14ac:dyDescent="0.3">
      <c r="A816" t="s">
        <v>850</v>
      </c>
      <c r="B816" t="s">
        <v>72</v>
      </c>
      <c r="C816" t="s">
        <v>13</v>
      </c>
      <c r="D816">
        <v>3</v>
      </c>
      <c r="E816">
        <v>2408.66</v>
      </c>
      <c r="F816" t="s">
        <v>22</v>
      </c>
      <c r="G816" s="1">
        <v>46105</v>
      </c>
      <c r="H816">
        <f t="shared" si="24"/>
        <v>7225.98</v>
      </c>
      <c r="I816" t="str">
        <f t="shared" si="25"/>
        <v>March</v>
      </c>
    </row>
    <row r="817" spans="1:9" x14ac:dyDescent="0.3">
      <c r="A817" t="s">
        <v>851</v>
      </c>
      <c r="B817" t="s">
        <v>24</v>
      </c>
      <c r="C817" t="s">
        <v>25</v>
      </c>
      <c r="D817">
        <v>4</v>
      </c>
      <c r="E817">
        <v>815.78</v>
      </c>
      <c r="F817" t="s">
        <v>18</v>
      </c>
      <c r="G817" s="1">
        <v>46071</v>
      </c>
      <c r="H817">
        <f t="shared" si="24"/>
        <v>3263.12</v>
      </c>
      <c r="I817" t="str">
        <f t="shared" si="25"/>
        <v>February</v>
      </c>
    </row>
    <row r="818" spans="1:9" x14ac:dyDescent="0.3">
      <c r="A818" t="s">
        <v>852</v>
      </c>
      <c r="B818" t="s">
        <v>44</v>
      </c>
      <c r="C818" t="s">
        <v>39</v>
      </c>
      <c r="D818">
        <v>2</v>
      </c>
      <c r="E818">
        <v>3789.4</v>
      </c>
      <c r="F818" t="s">
        <v>48</v>
      </c>
      <c r="G818" s="1">
        <v>46147</v>
      </c>
      <c r="H818">
        <f t="shared" si="24"/>
        <v>7578.8</v>
      </c>
      <c r="I818" t="str">
        <f t="shared" si="25"/>
        <v>May</v>
      </c>
    </row>
    <row r="819" spans="1:9" x14ac:dyDescent="0.3">
      <c r="A819" t="s">
        <v>853</v>
      </c>
      <c r="B819" t="s">
        <v>62</v>
      </c>
      <c r="C819" t="s">
        <v>25</v>
      </c>
      <c r="D819">
        <v>5</v>
      </c>
      <c r="E819">
        <v>2145.8000000000002</v>
      </c>
      <c r="F819" t="s">
        <v>46</v>
      </c>
      <c r="G819" s="1">
        <v>46154</v>
      </c>
      <c r="H819">
        <f t="shared" si="24"/>
        <v>10729</v>
      </c>
      <c r="I819" t="str">
        <f t="shared" si="25"/>
        <v>May</v>
      </c>
    </row>
    <row r="820" spans="1:9" x14ac:dyDescent="0.3">
      <c r="A820" t="s">
        <v>854</v>
      </c>
      <c r="B820" t="s">
        <v>62</v>
      </c>
      <c r="C820" t="s">
        <v>25</v>
      </c>
      <c r="D820">
        <v>2</v>
      </c>
      <c r="E820">
        <v>1825.33</v>
      </c>
      <c r="F820" t="s">
        <v>14</v>
      </c>
      <c r="G820" s="1">
        <v>46126</v>
      </c>
      <c r="H820">
        <f t="shared" si="24"/>
        <v>3650.66</v>
      </c>
      <c r="I820" t="str">
        <f t="shared" si="25"/>
        <v>April</v>
      </c>
    </row>
    <row r="821" spans="1:9" x14ac:dyDescent="0.3">
      <c r="A821" t="s">
        <v>855</v>
      </c>
      <c r="B821" t="s">
        <v>72</v>
      </c>
      <c r="C821" t="s">
        <v>13</v>
      </c>
      <c r="D821">
        <v>5</v>
      </c>
      <c r="E821">
        <v>2366.91</v>
      </c>
      <c r="F821" t="s">
        <v>46</v>
      </c>
      <c r="G821" s="1">
        <v>46067</v>
      </c>
      <c r="H821">
        <f t="shared" si="24"/>
        <v>11834.55</v>
      </c>
      <c r="I821" t="str">
        <f t="shared" si="25"/>
        <v>February</v>
      </c>
    </row>
    <row r="822" spans="1:9" x14ac:dyDescent="0.3">
      <c r="A822" t="s">
        <v>856</v>
      </c>
      <c r="B822" t="s">
        <v>12</v>
      </c>
      <c r="C822" t="s">
        <v>13</v>
      </c>
      <c r="D822">
        <v>2</v>
      </c>
      <c r="E822">
        <v>1601.09</v>
      </c>
      <c r="F822" t="s">
        <v>29</v>
      </c>
      <c r="G822" s="1">
        <v>46031</v>
      </c>
      <c r="H822">
        <f t="shared" si="24"/>
        <v>3202.18</v>
      </c>
      <c r="I822" t="str">
        <f t="shared" si="25"/>
        <v>January</v>
      </c>
    </row>
    <row r="823" spans="1:9" x14ac:dyDescent="0.3">
      <c r="A823" t="s">
        <v>857</v>
      </c>
      <c r="B823" t="s">
        <v>44</v>
      </c>
      <c r="C823" t="s">
        <v>39</v>
      </c>
      <c r="D823">
        <v>1</v>
      </c>
      <c r="E823">
        <v>3792.62</v>
      </c>
      <c r="F823" t="s">
        <v>29</v>
      </c>
      <c r="G823" s="1">
        <v>46093</v>
      </c>
      <c r="H823">
        <f t="shared" si="24"/>
        <v>3792.62</v>
      </c>
      <c r="I823" t="str">
        <f t="shared" si="25"/>
        <v>March</v>
      </c>
    </row>
    <row r="824" spans="1:9" x14ac:dyDescent="0.3">
      <c r="A824" t="s">
        <v>858</v>
      </c>
      <c r="B824" t="s">
        <v>55</v>
      </c>
      <c r="C824" t="s">
        <v>25</v>
      </c>
      <c r="D824">
        <v>4</v>
      </c>
      <c r="E824">
        <v>2501.56</v>
      </c>
      <c r="F824" t="s">
        <v>18</v>
      </c>
      <c r="G824" s="1">
        <v>46197</v>
      </c>
      <c r="H824">
        <f t="shared" si="24"/>
        <v>10006.24</v>
      </c>
      <c r="I824" t="str">
        <f t="shared" si="25"/>
        <v>June</v>
      </c>
    </row>
    <row r="825" spans="1:9" x14ac:dyDescent="0.3">
      <c r="A825" t="s">
        <v>859</v>
      </c>
      <c r="B825" t="s">
        <v>91</v>
      </c>
      <c r="C825" t="s">
        <v>13</v>
      </c>
      <c r="D825">
        <v>2</v>
      </c>
      <c r="E825">
        <v>53597.13</v>
      </c>
      <c r="F825" t="s">
        <v>50</v>
      </c>
      <c r="G825" s="1">
        <v>46137</v>
      </c>
      <c r="H825">
        <f t="shared" si="24"/>
        <v>107194.26</v>
      </c>
      <c r="I825" t="str">
        <f t="shared" si="25"/>
        <v>April</v>
      </c>
    </row>
    <row r="826" spans="1:9" x14ac:dyDescent="0.3">
      <c r="A826" t="s">
        <v>860</v>
      </c>
      <c r="B826" t="s">
        <v>72</v>
      </c>
      <c r="C826" t="s">
        <v>13</v>
      </c>
      <c r="D826">
        <v>4</v>
      </c>
      <c r="E826">
        <v>2238.23</v>
      </c>
      <c r="F826" t="s">
        <v>32</v>
      </c>
      <c r="G826" s="1">
        <v>46111</v>
      </c>
      <c r="H826">
        <f t="shared" si="24"/>
        <v>8952.92</v>
      </c>
      <c r="I826" t="str">
        <f t="shared" si="25"/>
        <v>March</v>
      </c>
    </row>
    <row r="827" spans="1:9" x14ac:dyDescent="0.3">
      <c r="A827" t="s">
        <v>861</v>
      </c>
      <c r="B827" t="s">
        <v>72</v>
      </c>
      <c r="C827" t="s">
        <v>13</v>
      </c>
      <c r="D827">
        <v>3</v>
      </c>
      <c r="E827">
        <v>2309.54</v>
      </c>
      <c r="F827" t="s">
        <v>18</v>
      </c>
      <c r="G827" s="1">
        <v>46095</v>
      </c>
      <c r="H827">
        <f t="shared" si="24"/>
        <v>6928.62</v>
      </c>
      <c r="I827" t="str">
        <f t="shared" si="25"/>
        <v>March</v>
      </c>
    </row>
    <row r="828" spans="1:9" x14ac:dyDescent="0.3">
      <c r="A828" t="s">
        <v>862</v>
      </c>
      <c r="B828" t="s">
        <v>91</v>
      </c>
      <c r="C828" t="s">
        <v>13</v>
      </c>
      <c r="D828">
        <v>4</v>
      </c>
      <c r="E828">
        <v>50046.16</v>
      </c>
      <c r="F828" t="s">
        <v>50</v>
      </c>
      <c r="G828" s="1">
        <v>46077</v>
      </c>
      <c r="H828">
        <f t="shared" si="24"/>
        <v>200184.64</v>
      </c>
      <c r="I828" t="str">
        <f t="shared" si="25"/>
        <v>February</v>
      </c>
    </row>
    <row r="829" spans="1:9" x14ac:dyDescent="0.3">
      <c r="A829" t="s">
        <v>863</v>
      </c>
      <c r="B829" t="s">
        <v>38</v>
      </c>
      <c r="C829" t="s">
        <v>39</v>
      </c>
      <c r="D829">
        <v>2</v>
      </c>
      <c r="E829">
        <v>6691.59</v>
      </c>
      <c r="F829" t="s">
        <v>29</v>
      </c>
      <c r="G829" s="1">
        <v>46091</v>
      </c>
      <c r="H829">
        <f t="shared" si="24"/>
        <v>13383.18</v>
      </c>
      <c r="I829" t="str">
        <f t="shared" si="25"/>
        <v>March</v>
      </c>
    </row>
    <row r="830" spans="1:9" x14ac:dyDescent="0.3">
      <c r="A830" t="s">
        <v>864</v>
      </c>
      <c r="B830" t="s">
        <v>8</v>
      </c>
      <c r="C830" t="s">
        <v>9</v>
      </c>
      <c r="D830">
        <v>4</v>
      </c>
      <c r="E830">
        <v>1804.78</v>
      </c>
      <c r="F830" t="s">
        <v>46</v>
      </c>
      <c r="G830" s="1">
        <v>46144</v>
      </c>
      <c r="H830">
        <f t="shared" si="24"/>
        <v>7219.12</v>
      </c>
      <c r="I830" t="str">
        <f t="shared" si="25"/>
        <v>May</v>
      </c>
    </row>
    <row r="831" spans="1:9" x14ac:dyDescent="0.3">
      <c r="A831" t="s">
        <v>865</v>
      </c>
      <c r="B831" t="s">
        <v>72</v>
      </c>
      <c r="C831" t="s">
        <v>13</v>
      </c>
      <c r="D831">
        <v>2</v>
      </c>
      <c r="E831">
        <v>2244.5</v>
      </c>
      <c r="F831" t="s">
        <v>46</v>
      </c>
      <c r="G831" s="1">
        <v>46080</v>
      </c>
      <c r="H831">
        <f t="shared" si="24"/>
        <v>4489</v>
      </c>
      <c r="I831" t="str">
        <f t="shared" si="25"/>
        <v>February</v>
      </c>
    </row>
    <row r="832" spans="1:9" x14ac:dyDescent="0.3">
      <c r="A832" t="s">
        <v>866</v>
      </c>
      <c r="B832" t="s">
        <v>24</v>
      </c>
      <c r="C832" t="s">
        <v>25</v>
      </c>
      <c r="D832">
        <v>5</v>
      </c>
      <c r="E832">
        <v>847.75</v>
      </c>
      <c r="F832" t="s">
        <v>10</v>
      </c>
      <c r="G832" s="1">
        <v>46187</v>
      </c>
      <c r="H832">
        <f t="shared" si="24"/>
        <v>4238.75</v>
      </c>
      <c r="I832" t="str">
        <f t="shared" si="25"/>
        <v>June</v>
      </c>
    </row>
    <row r="833" spans="1:9" x14ac:dyDescent="0.3">
      <c r="A833" t="s">
        <v>867</v>
      </c>
      <c r="B833" t="s">
        <v>24</v>
      </c>
      <c r="C833" t="s">
        <v>25</v>
      </c>
      <c r="D833">
        <v>4</v>
      </c>
      <c r="E833">
        <v>862.2</v>
      </c>
      <c r="F833" t="s">
        <v>32</v>
      </c>
      <c r="G833" s="1">
        <v>46140</v>
      </c>
      <c r="H833">
        <f t="shared" si="24"/>
        <v>3448.8</v>
      </c>
      <c r="I833" t="str">
        <f t="shared" si="25"/>
        <v>April</v>
      </c>
    </row>
    <row r="834" spans="1:9" x14ac:dyDescent="0.3">
      <c r="A834" t="s">
        <v>868</v>
      </c>
      <c r="B834" t="s">
        <v>24</v>
      </c>
      <c r="C834" t="s">
        <v>25</v>
      </c>
      <c r="D834">
        <v>2</v>
      </c>
      <c r="E834">
        <v>793.68</v>
      </c>
      <c r="F834" t="s">
        <v>14</v>
      </c>
      <c r="G834" s="1">
        <v>46182</v>
      </c>
      <c r="H834">
        <f t="shared" si="24"/>
        <v>1587.36</v>
      </c>
      <c r="I834" t="str">
        <f t="shared" si="25"/>
        <v>June</v>
      </c>
    </row>
    <row r="835" spans="1:9" x14ac:dyDescent="0.3">
      <c r="A835" t="s">
        <v>869</v>
      </c>
      <c r="B835" t="s">
        <v>28</v>
      </c>
      <c r="C835" t="s">
        <v>9</v>
      </c>
      <c r="D835">
        <v>5</v>
      </c>
      <c r="E835">
        <v>4601.3900000000003</v>
      </c>
      <c r="F835" t="s">
        <v>14</v>
      </c>
      <c r="G835" s="1">
        <v>46192</v>
      </c>
      <c r="H835">
        <f t="shared" ref="H835:H898" si="26">D835*E835</f>
        <v>23006.95</v>
      </c>
      <c r="I835" t="str">
        <f t="shared" ref="I835:I898" si="27">TEXT(G835, "mmmm")</f>
        <v>June</v>
      </c>
    </row>
    <row r="836" spans="1:9" x14ac:dyDescent="0.3">
      <c r="A836" t="s">
        <v>870</v>
      </c>
      <c r="B836" t="s">
        <v>38</v>
      </c>
      <c r="C836" t="s">
        <v>39</v>
      </c>
      <c r="D836">
        <v>3</v>
      </c>
      <c r="E836">
        <v>6579.89</v>
      </c>
      <c r="F836" t="s">
        <v>50</v>
      </c>
      <c r="G836" s="1">
        <v>46178</v>
      </c>
      <c r="H836">
        <f t="shared" si="26"/>
        <v>19739.670000000002</v>
      </c>
      <c r="I836" t="str">
        <f t="shared" si="27"/>
        <v>June</v>
      </c>
    </row>
    <row r="837" spans="1:9" x14ac:dyDescent="0.3">
      <c r="A837" t="s">
        <v>871</v>
      </c>
      <c r="B837" t="s">
        <v>24</v>
      </c>
      <c r="C837" t="s">
        <v>25</v>
      </c>
      <c r="D837">
        <v>3</v>
      </c>
      <c r="E837">
        <v>828.47</v>
      </c>
      <c r="F837" t="s">
        <v>22</v>
      </c>
      <c r="G837" s="1">
        <v>46039</v>
      </c>
      <c r="H837">
        <f t="shared" si="26"/>
        <v>2485.41</v>
      </c>
      <c r="I837" t="str">
        <f t="shared" si="27"/>
        <v>January</v>
      </c>
    </row>
    <row r="838" spans="1:9" x14ac:dyDescent="0.3">
      <c r="A838" t="s">
        <v>872</v>
      </c>
      <c r="B838" t="s">
        <v>55</v>
      </c>
      <c r="C838" t="s">
        <v>25</v>
      </c>
      <c r="D838">
        <v>3</v>
      </c>
      <c r="E838">
        <v>2569.27</v>
      </c>
      <c r="F838" t="s">
        <v>10</v>
      </c>
      <c r="G838" s="1">
        <v>46089</v>
      </c>
      <c r="H838">
        <f t="shared" si="26"/>
        <v>7707.8099999999995</v>
      </c>
      <c r="I838" t="str">
        <f t="shared" si="27"/>
        <v>March</v>
      </c>
    </row>
    <row r="839" spans="1:9" x14ac:dyDescent="0.3">
      <c r="A839" t="s">
        <v>873</v>
      </c>
      <c r="B839" t="s">
        <v>8</v>
      </c>
      <c r="C839" t="s">
        <v>9</v>
      </c>
      <c r="D839">
        <v>3</v>
      </c>
      <c r="E839">
        <v>1687.81</v>
      </c>
      <c r="F839" t="s">
        <v>14</v>
      </c>
      <c r="G839" s="1">
        <v>46084</v>
      </c>
      <c r="H839">
        <f t="shared" si="26"/>
        <v>5063.43</v>
      </c>
      <c r="I839" t="str">
        <f t="shared" si="27"/>
        <v>March</v>
      </c>
    </row>
    <row r="840" spans="1:9" x14ac:dyDescent="0.3">
      <c r="A840" t="s">
        <v>874</v>
      </c>
      <c r="B840" t="s">
        <v>91</v>
      </c>
      <c r="C840" t="s">
        <v>13</v>
      </c>
      <c r="D840">
        <v>5</v>
      </c>
      <c r="E840">
        <v>53945.08</v>
      </c>
      <c r="F840" t="s">
        <v>32</v>
      </c>
      <c r="G840" s="1">
        <v>46197</v>
      </c>
      <c r="H840">
        <f t="shared" si="26"/>
        <v>269725.40000000002</v>
      </c>
      <c r="I840" t="str">
        <f t="shared" si="27"/>
        <v>June</v>
      </c>
    </row>
    <row r="841" spans="1:9" x14ac:dyDescent="0.3">
      <c r="A841" t="s">
        <v>875</v>
      </c>
      <c r="B841" t="s">
        <v>72</v>
      </c>
      <c r="C841" t="s">
        <v>13</v>
      </c>
      <c r="D841">
        <v>1</v>
      </c>
      <c r="E841">
        <v>2268.38</v>
      </c>
      <c r="F841" t="s">
        <v>10</v>
      </c>
      <c r="G841" s="1">
        <v>46089</v>
      </c>
      <c r="H841">
        <f t="shared" si="26"/>
        <v>2268.38</v>
      </c>
      <c r="I841" t="str">
        <f t="shared" si="27"/>
        <v>March</v>
      </c>
    </row>
    <row r="842" spans="1:9" x14ac:dyDescent="0.3">
      <c r="A842" t="s">
        <v>876</v>
      </c>
      <c r="B842" t="s">
        <v>28</v>
      </c>
      <c r="C842" t="s">
        <v>9</v>
      </c>
      <c r="D842">
        <v>4</v>
      </c>
      <c r="E842">
        <v>4887.3</v>
      </c>
      <c r="F842" t="s">
        <v>46</v>
      </c>
      <c r="G842" s="1">
        <v>46172</v>
      </c>
      <c r="H842">
        <f t="shared" si="26"/>
        <v>19549.2</v>
      </c>
      <c r="I842" t="str">
        <f t="shared" si="27"/>
        <v>May</v>
      </c>
    </row>
    <row r="843" spans="1:9" x14ac:dyDescent="0.3">
      <c r="A843" t="s">
        <v>877</v>
      </c>
      <c r="B843" t="s">
        <v>21</v>
      </c>
      <c r="C843" t="s">
        <v>13</v>
      </c>
      <c r="D843">
        <v>5</v>
      </c>
      <c r="E843">
        <v>29769.68</v>
      </c>
      <c r="F843" t="s">
        <v>32</v>
      </c>
      <c r="G843" s="1">
        <v>46079</v>
      </c>
      <c r="H843">
        <f t="shared" si="26"/>
        <v>148848.4</v>
      </c>
      <c r="I843" t="str">
        <f t="shared" si="27"/>
        <v>February</v>
      </c>
    </row>
    <row r="844" spans="1:9" x14ac:dyDescent="0.3">
      <c r="A844" t="s">
        <v>878</v>
      </c>
      <c r="B844" t="s">
        <v>8</v>
      </c>
      <c r="C844" t="s">
        <v>9</v>
      </c>
      <c r="D844">
        <v>5</v>
      </c>
      <c r="E844">
        <v>1849.79</v>
      </c>
      <c r="F844" t="s">
        <v>22</v>
      </c>
      <c r="G844" s="1">
        <v>46194</v>
      </c>
      <c r="H844">
        <f t="shared" si="26"/>
        <v>9248.9500000000007</v>
      </c>
      <c r="I844" t="str">
        <f t="shared" si="27"/>
        <v>June</v>
      </c>
    </row>
    <row r="845" spans="1:9" x14ac:dyDescent="0.3">
      <c r="A845" t="s">
        <v>879</v>
      </c>
      <c r="B845" t="s">
        <v>55</v>
      </c>
      <c r="C845" t="s">
        <v>25</v>
      </c>
      <c r="D845">
        <v>5</v>
      </c>
      <c r="E845">
        <v>2399.14</v>
      </c>
      <c r="F845" t="s">
        <v>26</v>
      </c>
      <c r="G845" s="1">
        <v>46191</v>
      </c>
      <c r="H845">
        <f t="shared" si="26"/>
        <v>11995.699999999999</v>
      </c>
      <c r="I845" t="str">
        <f t="shared" si="27"/>
        <v>June</v>
      </c>
    </row>
    <row r="846" spans="1:9" x14ac:dyDescent="0.3">
      <c r="A846" t="s">
        <v>880</v>
      </c>
      <c r="B846" t="s">
        <v>80</v>
      </c>
      <c r="C846" t="s">
        <v>39</v>
      </c>
      <c r="D846">
        <v>2</v>
      </c>
      <c r="E846">
        <v>4026.78</v>
      </c>
      <c r="F846" t="s">
        <v>22</v>
      </c>
      <c r="G846" s="1">
        <v>46055</v>
      </c>
      <c r="H846">
        <f t="shared" si="26"/>
        <v>8053.56</v>
      </c>
      <c r="I846" t="str">
        <f t="shared" si="27"/>
        <v>February</v>
      </c>
    </row>
    <row r="847" spans="1:9" x14ac:dyDescent="0.3">
      <c r="A847" t="s">
        <v>881</v>
      </c>
      <c r="B847" t="s">
        <v>21</v>
      </c>
      <c r="C847" t="s">
        <v>13</v>
      </c>
      <c r="D847">
        <v>3</v>
      </c>
      <c r="E847">
        <v>29261.05</v>
      </c>
      <c r="F847" t="s">
        <v>14</v>
      </c>
      <c r="G847" s="1">
        <v>46069</v>
      </c>
      <c r="H847">
        <f t="shared" si="26"/>
        <v>87783.15</v>
      </c>
      <c r="I847" t="str">
        <f t="shared" si="27"/>
        <v>February</v>
      </c>
    </row>
    <row r="848" spans="1:9" x14ac:dyDescent="0.3">
      <c r="A848" t="s">
        <v>882</v>
      </c>
      <c r="B848" t="s">
        <v>8</v>
      </c>
      <c r="C848" t="s">
        <v>9</v>
      </c>
      <c r="D848">
        <v>3</v>
      </c>
      <c r="E848">
        <v>1855.6</v>
      </c>
      <c r="F848" t="s">
        <v>29</v>
      </c>
      <c r="G848" s="1">
        <v>46113</v>
      </c>
      <c r="H848">
        <f t="shared" si="26"/>
        <v>5566.7999999999993</v>
      </c>
      <c r="I848" t="str">
        <f t="shared" si="27"/>
        <v>April</v>
      </c>
    </row>
    <row r="849" spans="1:9" x14ac:dyDescent="0.3">
      <c r="A849" t="s">
        <v>883</v>
      </c>
      <c r="B849" t="s">
        <v>12</v>
      </c>
      <c r="C849" t="s">
        <v>13</v>
      </c>
      <c r="D849">
        <v>3</v>
      </c>
      <c r="E849">
        <v>1476.14</v>
      </c>
      <c r="F849" t="s">
        <v>32</v>
      </c>
      <c r="G849" s="1">
        <v>46118</v>
      </c>
      <c r="H849">
        <f t="shared" si="26"/>
        <v>4428.42</v>
      </c>
      <c r="I849" t="str">
        <f t="shared" si="27"/>
        <v>April</v>
      </c>
    </row>
    <row r="850" spans="1:9" x14ac:dyDescent="0.3">
      <c r="A850" t="s">
        <v>884</v>
      </c>
      <c r="B850" t="s">
        <v>24</v>
      </c>
      <c r="C850" t="s">
        <v>25</v>
      </c>
      <c r="D850">
        <v>5</v>
      </c>
      <c r="E850">
        <v>766.09</v>
      </c>
      <c r="F850" t="s">
        <v>18</v>
      </c>
      <c r="G850" s="1">
        <v>46143</v>
      </c>
      <c r="H850">
        <f t="shared" si="26"/>
        <v>3830.4500000000003</v>
      </c>
      <c r="I850" t="str">
        <f t="shared" si="27"/>
        <v>May</v>
      </c>
    </row>
    <row r="851" spans="1:9" x14ac:dyDescent="0.3">
      <c r="A851" t="s">
        <v>885</v>
      </c>
      <c r="B851" t="s">
        <v>91</v>
      </c>
      <c r="C851" t="s">
        <v>13</v>
      </c>
      <c r="D851">
        <v>5</v>
      </c>
      <c r="E851">
        <v>55883.44</v>
      </c>
      <c r="F851" t="s">
        <v>50</v>
      </c>
      <c r="G851" s="1">
        <v>46041</v>
      </c>
      <c r="H851">
        <f t="shared" si="26"/>
        <v>279417.2</v>
      </c>
      <c r="I851" t="str">
        <f t="shared" si="27"/>
        <v>January</v>
      </c>
    </row>
    <row r="852" spans="1:9" x14ac:dyDescent="0.3">
      <c r="A852" t="s">
        <v>886</v>
      </c>
      <c r="B852" t="s">
        <v>44</v>
      </c>
      <c r="C852" t="s">
        <v>39</v>
      </c>
      <c r="D852">
        <v>2</v>
      </c>
      <c r="E852">
        <v>3500.33</v>
      </c>
      <c r="F852" t="s">
        <v>48</v>
      </c>
      <c r="G852" s="1">
        <v>46158</v>
      </c>
      <c r="H852">
        <f t="shared" si="26"/>
        <v>7000.66</v>
      </c>
      <c r="I852" t="str">
        <f t="shared" si="27"/>
        <v>May</v>
      </c>
    </row>
    <row r="853" spans="1:9" x14ac:dyDescent="0.3">
      <c r="A853" t="s">
        <v>887</v>
      </c>
      <c r="B853" t="s">
        <v>24</v>
      </c>
      <c r="C853" t="s">
        <v>25</v>
      </c>
      <c r="D853">
        <v>4</v>
      </c>
      <c r="E853">
        <v>727.74</v>
      </c>
      <c r="F853" t="s">
        <v>26</v>
      </c>
      <c r="G853" s="1">
        <v>46058</v>
      </c>
      <c r="H853">
        <f t="shared" si="26"/>
        <v>2910.96</v>
      </c>
      <c r="I853" t="str">
        <f t="shared" si="27"/>
        <v>February</v>
      </c>
    </row>
    <row r="854" spans="1:9" x14ac:dyDescent="0.3">
      <c r="A854" t="s">
        <v>888</v>
      </c>
      <c r="B854" t="s">
        <v>12</v>
      </c>
      <c r="C854" t="s">
        <v>13</v>
      </c>
      <c r="D854">
        <v>3</v>
      </c>
      <c r="E854">
        <v>1472.76</v>
      </c>
      <c r="F854" t="s">
        <v>50</v>
      </c>
      <c r="G854" s="1">
        <v>46140</v>
      </c>
      <c r="H854">
        <f t="shared" si="26"/>
        <v>4418.28</v>
      </c>
      <c r="I854" t="str">
        <f t="shared" si="27"/>
        <v>April</v>
      </c>
    </row>
    <row r="855" spans="1:9" x14ac:dyDescent="0.3">
      <c r="A855" t="s">
        <v>889</v>
      </c>
      <c r="B855" t="s">
        <v>72</v>
      </c>
      <c r="C855" t="s">
        <v>13</v>
      </c>
      <c r="D855">
        <v>3</v>
      </c>
      <c r="E855">
        <v>2359.4499999999998</v>
      </c>
      <c r="F855" t="s">
        <v>26</v>
      </c>
      <c r="G855" s="1">
        <v>46043</v>
      </c>
      <c r="H855">
        <f t="shared" si="26"/>
        <v>7078.3499999999995</v>
      </c>
      <c r="I855" t="str">
        <f t="shared" si="27"/>
        <v>January</v>
      </c>
    </row>
    <row r="856" spans="1:9" x14ac:dyDescent="0.3">
      <c r="A856" t="s">
        <v>890</v>
      </c>
      <c r="B856" t="s">
        <v>44</v>
      </c>
      <c r="C856" t="s">
        <v>39</v>
      </c>
      <c r="D856">
        <v>3</v>
      </c>
      <c r="E856">
        <v>3591.72</v>
      </c>
      <c r="F856" t="s">
        <v>26</v>
      </c>
      <c r="G856" s="1">
        <v>46103</v>
      </c>
      <c r="H856">
        <f t="shared" si="26"/>
        <v>10775.16</v>
      </c>
      <c r="I856" t="str">
        <f t="shared" si="27"/>
        <v>March</v>
      </c>
    </row>
    <row r="857" spans="1:9" x14ac:dyDescent="0.3">
      <c r="A857" t="s">
        <v>891</v>
      </c>
      <c r="B857" t="s">
        <v>8</v>
      </c>
      <c r="C857" t="s">
        <v>9</v>
      </c>
      <c r="D857">
        <v>1</v>
      </c>
      <c r="E857">
        <v>1621.7</v>
      </c>
      <c r="F857" t="s">
        <v>10</v>
      </c>
      <c r="G857" s="1">
        <v>46076</v>
      </c>
      <c r="H857">
        <f t="shared" si="26"/>
        <v>1621.7</v>
      </c>
      <c r="I857" t="str">
        <f t="shared" si="27"/>
        <v>February</v>
      </c>
    </row>
    <row r="858" spans="1:9" x14ac:dyDescent="0.3">
      <c r="A858" t="s">
        <v>892</v>
      </c>
      <c r="B858" t="s">
        <v>62</v>
      </c>
      <c r="C858" t="s">
        <v>25</v>
      </c>
      <c r="D858">
        <v>2</v>
      </c>
      <c r="E858">
        <v>2029.5</v>
      </c>
      <c r="F858" t="s">
        <v>26</v>
      </c>
      <c r="G858" s="1">
        <v>46148</v>
      </c>
      <c r="H858">
        <f t="shared" si="26"/>
        <v>4059</v>
      </c>
      <c r="I858" t="str">
        <f t="shared" si="27"/>
        <v>May</v>
      </c>
    </row>
    <row r="859" spans="1:9" x14ac:dyDescent="0.3">
      <c r="A859" t="s">
        <v>893</v>
      </c>
      <c r="B859" t="s">
        <v>62</v>
      </c>
      <c r="C859" t="s">
        <v>25</v>
      </c>
      <c r="D859">
        <v>1</v>
      </c>
      <c r="E859">
        <v>1850.84</v>
      </c>
      <c r="F859" t="s">
        <v>48</v>
      </c>
      <c r="G859" s="1">
        <v>46185</v>
      </c>
      <c r="H859">
        <f t="shared" si="26"/>
        <v>1850.84</v>
      </c>
      <c r="I859" t="str">
        <f t="shared" si="27"/>
        <v>June</v>
      </c>
    </row>
    <row r="860" spans="1:9" x14ac:dyDescent="0.3">
      <c r="A860" t="s">
        <v>894</v>
      </c>
      <c r="B860" t="s">
        <v>28</v>
      </c>
      <c r="C860" t="s">
        <v>9</v>
      </c>
      <c r="D860">
        <v>4</v>
      </c>
      <c r="E860">
        <v>4928.04</v>
      </c>
      <c r="F860" t="s">
        <v>22</v>
      </c>
      <c r="G860" s="1">
        <v>46121</v>
      </c>
      <c r="H860">
        <f t="shared" si="26"/>
        <v>19712.16</v>
      </c>
      <c r="I860" t="str">
        <f t="shared" si="27"/>
        <v>April</v>
      </c>
    </row>
    <row r="861" spans="1:9" x14ac:dyDescent="0.3">
      <c r="A861" t="s">
        <v>895</v>
      </c>
      <c r="B861" t="s">
        <v>91</v>
      </c>
      <c r="C861" t="s">
        <v>13</v>
      </c>
      <c r="D861">
        <v>1</v>
      </c>
      <c r="E861">
        <v>55371.61</v>
      </c>
      <c r="F861" t="s">
        <v>32</v>
      </c>
      <c r="G861" s="1">
        <v>46026</v>
      </c>
      <c r="H861">
        <f t="shared" si="26"/>
        <v>55371.61</v>
      </c>
      <c r="I861" t="str">
        <f t="shared" si="27"/>
        <v>January</v>
      </c>
    </row>
    <row r="862" spans="1:9" x14ac:dyDescent="0.3">
      <c r="A862" t="s">
        <v>896</v>
      </c>
      <c r="B862" t="s">
        <v>55</v>
      </c>
      <c r="C862" t="s">
        <v>25</v>
      </c>
      <c r="D862">
        <v>5</v>
      </c>
      <c r="E862">
        <v>2344.35</v>
      </c>
      <c r="F862" t="s">
        <v>46</v>
      </c>
      <c r="G862" s="1">
        <v>46183</v>
      </c>
      <c r="H862">
        <f t="shared" si="26"/>
        <v>11721.75</v>
      </c>
      <c r="I862" t="str">
        <f t="shared" si="27"/>
        <v>June</v>
      </c>
    </row>
    <row r="863" spans="1:9" x14ac:dyDescent="0.3">
      <c r="A863" t="s">
        <v>897</v>
      </c>
      <c r="B863" t="s">
        <v>21</v>
      </c>
      <c r="C863" t="s">
        <v>13</v>
      </c>
      <c r="D863">
        <v>2</v>
      </c>
      <c r="E863">
        <v>26467.09</v>
      </c>
      <c r="F863" t="s">
        <v>32</v>
      </c>
      <c r="G863" s="1">
        <v>46102</v>
      </c>
      <c r="H863">
        <f t="shared" si="26"/>
        <v>52934.18</v>
      </c>
      <c r="I863" t="str">
        <f t="shared" si="27"/>
        <v>March</v>
      </c>
    </row>
    <row r="864" spans="1:9" x14ac:dyDescent="0.3">
      <c r="A864" t="s">
        <v>898</v>
      </c>
      <c r="B864" t="s">
        <v>72</v>
      </c>
      <c r="C864" t="s">
        <v>13</v>
      </c>
      <c r="D864">
        <v>1</v>
      </c>
      <c r="E864">
        <v>2148.7600000000002</v>
      </c>
      <c r="F864" t="s">
        <v>50</v>
      </c>
      <c r="G864" s="1">
        <v>46101</v>
      </c>
      <c r="H864">
        <f t="shared" si="26"/>
        <v>2148.7600000000002</v>
      </c>
      <c r="I864" t="str">
        <f t="shared" si="27"/>
        <v>March</v>
      </c>
    </row>
    <row r="865" spans="1:9" x14ac:dyDescent="0.3">
      <c r="A865" t="s">
        <v>899</v>
      </c>
      <c r="B865" t="s">
        <v>72</v>
      </c>
      <c r="C865" t="s">
        <v>13</v>
      </c>
      <c r="D865">
        <v>1</v>
      </c>
      <c r="E865">
        <v>2342.4899999999998</v>
      </c>
      <c r="F865" t="s">
        <v>10</v>
      </c>
      <c r="G865" s="1">
        <v>46097</v>
      </c>
      <c r="H865">
        <f t="shared" si="26"/>
        <v>2342.4899999999998</v>
      </c>
      <c r="I865" t="str">
        <f t="shared" si="27"/>
        <v>March</v>
      </c>
    </row>
    <row r="866" spans="1:9" x14ac:dyDescent="0.3">
      <c r="A866" t="s">
        <v>900</v>
      </c>
      <c r="B866" t="s">
        <v>44</v>
      </c>
      <c r="C866" t="s">
        <v>39</v>
      </c>
      <c r="D866">
        <v>5</v>
      </c>
      <c r="E866">
        <v>3567.46</v>
      </c>
      <c r="F866" t="s">
        <v>32</v>
      </c>
      <c r="G866" s="1">
        <v>46134</v>
      </c>
      <c r="H866">
        <f t="shared" si="26"/>
        <v>17837.3</v>
      </c>
      <c r="I866" t="str">
        <f t="shared" si="27"/>
        <v>April</v>
      </c>
    </row>
    <row r="867" spans="1:9" x14ac:dyDescent="0.3">
      <c r="A867" t="s">
        <v>901</v>
      </c>
      <c r="B867" t="s">
        <v>8</v>
      </c>
      <c r="C867" t="s">
        <v>9</v>
      </c>
      <c r="D867">
        <v>2</v>
      </c>
      <c r="E867">
        <v>1743.38</v>
      </c>
      <c r="F867" t="s">
        <v>22</v>
      </c>
      <c r="G867" s="1">
        <v>46114</v>
      </c>
      <c r="H867">
        <f t="shared" si="26"/>
        <v>3486.76</v>
      </c>
      <c r="I867" t="str">
        <f t="shared" si="27"/>
        <v>April</v>
      </c>
    </row>
    <row r="868" spans="1:9" x14ac:dyDescent="0.3">
      <c r="A868" t="s">
        <v>902</v>
      </c>
      <c r="B868" t="s">
        <v>62</v>
      </c>
      <c r="C868" t="s">
        <v>25</v>
      </c>
      <c r="D868">
        <v>2</v>
      </c>
      <c r="E868">
        <v>1865.02</v>
      </c>
      <c r="F868" t="s">
        <v>48</v>
      </c>
      <c r="G868" s="1">
        <v>46027</v>
      </c>
      <c r="H868">
        <f t="shared" si="26"/>
        <v>3730.04</v>
      </c>
      <c r="I868" t="str">
        <f t="shared" si="27"/>
        <v>January</v>
      </c>
    </row>
    <row r="869" spans="1:9" x14ac:dyDescent="0.3">
      <c r="A869" t="s">
        <v>903</v>
      </c>
      <c r="B869" t="s">
        <v>12</v>
      </c>
      <c r="C869" t="s">
        <v>13</v>
      </c>
      <c r="D869">
        <v>2</v>
      </c>
      <c r="E869">
        <v>1568.15</v>
      </c>
      <c r="F869" t="s">
        <v>26</v>
      </c>
      <c r="G869" s="1">
        <v>46077</v>
      </c>
      <c r="H869">
        <f t="shared" si="26"/>
        <v>3136.3</v>
      </c>
      <c r="I869" t="str">
        <f t="shared" si="27"/>
        <v>February</v>
      </c>
    </row>
    <row r="870" spans="1:9" x14ac:dyDescent="0.3">
      <c r="A870" t="s">
        <v>904</v>
      </c>
      <c r="B870" t="s">
        <v>21</v>
      </c>
      <c r="C870" t="s">
        <v>13</v>
      </c>
      <c r="D870">
        <v>1</v>
      </c>
      <c r="E870">
        <v>28502.28</v>
      </c>
      <c r="F870" t="s">
        <v>26</v>
      </c>
      <c r="G870" s="1">
        <v>46054</v>
      </c>
      <c r="H870">
        <f t="shared" si="26"/>
        <v>28502.28</v>
      </c>
      <c r="I870" t="str">
        <f t="shared" si="27"/>
        <v>February</v>
      </c>
    </row>
    <row r="871" spans="1:9" x14ac:dyDescent="0.3">
      <c r="A871" t="s">
        <v>905</v>
      </c>
      <c r="B871" t="s">
        <v>55</v>
      </c>
      <c r="C871" t="s">
        <v>25</v>
      </c>
      <c r="D871">
        <v>1</v>
      </c>
      <c r="E871">
        <v>2436.62</v>
      </c>
      <c r="F871" t="s">
        <v>10</v>
      </c>
      <c r="G871" s="1">
        <v>46159</v>
      </c>
      <c r="H871">
        <f t="shared" si="26"/>
        <v>2436.62</v>
      </c>
      <c r="I871" t="str">
        <f t="shared" si="27"/>
        <v>May</v>
      </c>
    </row>
    <row r="872" spans="1:9" x14ac:dyDescent="0.3">
      <c r="A872" t="s">
        <v>906</v>
      </c>
      <c r="B872" t="s">
        <v>16</v>
      </c>
      <c r="C872" t="s">
        <v>17</v>
      </c>
      <c r="D872">
        <v>1</v>
      </c>
      <c r="E872">
        <v>458.45</v>
      </c>
      <c r="F872" t="s">
        <v>46</v>
      </c>
      <c r="G872" s="1">
        <v>46192</v>
      </c>
      <c r="H872">
        <f t="shared" si="26"/>
        <v>458.45</v>
      </c>
      <c r="I872" t="str">
        <f t="shared" si="27"/>
        <v>June</v>
      </c>
    </row>
    <row r="873" spans="1:9" x14ac:dyDescent="0.3">
      <c r="A873" t="s">
        <v>907</v>
      </c>
      <c r="B873" t="s">
        <v>31</v>
      </c>
      <c r="C873" t="s">
        <v>13</v>
      </c>
      <c r="D873">
        <v>1</v>
      </c>
      <c r="E873">
        <v>16373.65</v>
      </c>
      <c r="F873" t="s">
        <v>18</v>
      </c>
      <c r="G873" s="1">
        <v>46129</v>
      </c>
      <c r="H873">
        <f t="shared" si="26"/>
        <v>16373.65</v>
      </c>
      <c r="I873" t="str">
        <f t="shared" si="27"/>
        <v>April</v>
      </c>
    </row>
    <row r="874" spans="1:9" x14ac:dyDescent="0.3">
      <c r="A874" t="s">
        <v>908</v>
      </c>
      <c r="B874" t="s">
        <v>44</v>
      </c>
      <c r="C874" t="s">
        <v>39</v>
      </c>
      <c r="D874">
        <v>4</v>
      </c>
      <c r="E874">
        <v>3236.52</v>
      </c>
      <c r="F874" t="s">
        <v>10</v>
      </c>
      <c r="G874" s="1">
        <v>46144</v>
      </c>
      <c r="H874">
        <f t="shared" si="26"/>
        <v>12946.08</v>
      </c>
      <c r="I874" t="str">
        <f t="shared" si="27"/>
        <v>May</v>
      </c>
    </row>
    <row r="875" spans="1:9" x14ac:dyDescent="0.3">
      <c r="A875" t="s">
        <v>909</v>
      </c>
      <c r="B875" t="s">
        <v>21</v>
      </c>
      <c r="C875" t="s">
        <v>13</v>
      </c>
      <c r="D875">
        <v>2</v>
      </c>
      <c r="E875">
        <v>26350.77</v>
      </c>
      <c r="F875" t="s">
        <v>46</v>
      </c>
      <c r="G875" s="1">
        <v>46100</v>
      </c>
      <c r="H875">
        <f t="shared" si="26"/>
        <v>52701.54</v>
      </c>
      <c r="I875" t="str">
        <f t="shared" si="27"/>
        <v>March</v>
      </c>
    </row>
    <row r="876" spans="1:9" x14ac:dyDescent="0.3">
      <c r="A876" t="s">
        <v>910</v>
      </c>
      <c r="B876" t="s">
        <v>28</v>
      </c>
      <c r="C876" t="s">
        <v>9</v>
      </c>
      <c r="D876">
        <v>1</v>
      </c>
      <c r="E876">
        <v>5161.45</v>
      </c>
      <c r="F876" t="s">
        <v>10</v>
      </c>
      <c r="G876" s="1">
        <v>46182</v>
      </c>
      <c r="H876">
        <f t="shared" si="26"/>
        <v>5161.45</v>
      </c>
      <c r="I876" t="str">
        <f t="shared" si="27"/>
        <v>June</v>
      </c>
    </row>
    <row r="877" spans="1:9" x14ac:dyDescent="0.3">
      <c r="A877" t="s">
        <v>911</v>
      </c>
      <c r="B877" t="s">
        <v>16</v>
      </c>
      <c r="C877" t="s">
        <v>17</v>
      </c>
      <c r="D877">
        <v>2</v>
      </c>
      <c r="E877">
        <v>442.69</v>
      </c>
      <c r="F877" t="s">
        <v>18</v>
      </c>
      <c r="G877" s="1">
        <v>46153</v>
      </c>
      <c r="H877">
        <f t="shared" si="26"/>
        <v>885.38</v>
      </c>
      <c r="I877" t="str">
        <f t="shared" si="27"/>
        <v>May</v>
      </c>
    </row>
    <row r="878" spans="1:9" x14ac:dyDescent="0.3">
      <c r="A878" t="s">
        <v>912</v>
      </c>
      <c r="B878" t="s">
        <v>21</v>
      </c>
      <c r="C878" t="s">
        <v>13</v>
      </c>
      <c r="D878">
        <v>5</v>
      </c>
      <c r="E878">
        <v>25859.31</v>
      </c>
      <c r="F878" t="s">
        <v>18</v>
      </c>
      <c r="G878" s="1">
        <v>46050</v>
      </c>
      <c r="H878">
        <f t="shared" si="26"/>
        <v>129296.55</v>
      </c>
      <c r="I878" t="str">
        <f t="shared" si="27"/>
        <v>January</v>
      </c>
    </row>
    <row r="879" spans="1:9" x14ac:dyDescent="0.3">
      <c r="A879" t="s">
        <v>913</v>
      </c>
      <c r="B879" t="s">
        <v>44</v>
      </c>
      <c r="C879" t="s">
        <v>39</v>
      </c>
      <c r="D879">
        <v>2</v>
      </c>
      <c r="E879">
        <v>3576.3</v>
      </c>
      <c r="F879" t="s">
        <v>10</v>
      </c>
      <c r="G879" s="1">
        <v>46156</v>
      </c>
      <c r="H879">
        <f t="shared" si="26"/>
        <v>7152.6</v>
      </c>
      <c r="I879" t="str">
        <f t="shared" si="27"/>
        <v>May</v>
      </c>
    </row>
    <row r="880" spans="1:9" x14ac:dyDescent="0.3">
      <c r="A880" t="s">
        <v>914</v>
      </c>
      <c r="B880" t="s">
        <v>12</v>
      </c>
      <c r="C880" t="s">
        <v>13</v>
      </c>
      <c r="D880">
        <v>3</v>
      </c>
      <c r="E880">
        <v>1561.03</v>
      </c>
      <c r="F880" t="s">
        <v>10</v>
      </c>
      <c r="G880" s="1">
        <v>46064</v>
      </c>
      <c r="H880">
        <f t="shared" si="26"/>
        <v>4683.09</v>
      </c>
      <c r="I880" t="str">
        <f t="shared" si="27"/>
        <v>February</v>
      </c>
    </row>
    <row r="881" spans="1:9" x14ac:dyDescent="0.3">
      <c r="A881" t="s">
        <v>915</v>
      </c>
      <c r="B881" t="s">
        <v>91</v>
      </c>
      <c r="C881" t="s">
        <v>13</v>
      </c>
      <c r="D881">
        <v>5</v>
      </c>
      <c r="E881">
        <v>54959.9</v>
      </c>
      <c r="F881" t="s">
        <v>29</v>
      </c>
      <c r="G881" s="1">
        <v>46199</v>
      </c>
      <c r="H881">
        <f t="shared" si="26"/>
        <v>274799.5</v>
      </c>
      <c r="I881" t="str">
        <f t="shared" si="27"/>
        <v>June</v>
      </c>
    </row>
    <row r="882" spans="1:9" x14ac:dyDescent="0.3">
      <c r="A882" t="s">
        <v>916</v>
      </c>
      <c r="B882" t="s">
        <v>44</v>
      </c>
      <c r="C882" t="s">
        <v>39</v>
      </c>
      <c r="D882">
        <v>3</v>
      </c>
      <c r="E882">
        <v>3314.15</v>
      </c>
      <c r="F882" t="s">
        <v>46</v>
      </c>
      <c r="G882" s="1">
        <v>46194</v>
      </c>
      <c r="H882">
        <f t="shared" si="26"/>
        <v>9942.4500000000007</v>
      </c>
      <c r="I882" t="str">
        <f t="shared" si="27"/>
        <v>June</v>
      </c>
    </row>
    <row r="883" spans="1:9" x14ac:dyDescent="0.3">
      <c r="A883" t="s">
        <v>917</v>
      </c>
      <c r="B883" t="s">
        <v>31</v>
      </c>
      <c r="C883" t="s">
        <v>13</v>
      </c>
      <c r="D883">
        <v>1</v>
      </c>
      <c r="E883">
        <v>19206.84</v>
      </c>
      <c r="F883" t="s">
        <v>22</v>
      </c>
      <c r="G883" s="1">
        <v>46061</v>
      </c>
      <c r="H883">
        <f t="shared" si="26"/>
        <v>19206.84</v>
      </c>
      <c r="I883" t="str">
        <f t="shared" si="27"/>
        <v>February</v>
      </c>
    </row>
    <row r="884" spans="1:9" x14ac:dyDescent="0.3">
      <c r="A884" t="s">
        <v>918</v>
      </c>
      <c r="B884" t="s">
        <v>31</v>
      </c>
      <c r="C884" t="s">
        <v>13</v>
      </c>
      <c r="D884">
        <v>5</v>
      </c>
      <c r="E884">
        <v>16470.169999999998</v>
      </c>
      <c r="F884" t="s">
        <v>18</v>
      </c>
      <c r="G884" s="1">
        <v>46088</v>
      </c>
      <c r="H884">
        <f t="shared" si="26"/>
        <v>82350.849999999991</v>
      </c>
      <c r="I884" t="str">
        <f t="shared" si="27"/>
        <v>March</v>
      </c>
    </row>
    <row r="885" spans="1:9" x14ac:dyDescent="0.3">
      <c r="A885" t="s">
        <v>919</v>
      </c>
      <c r="B885" t="s">
        <v>8</v>
      </c>
      <c r="C885" t="s">
        <v>9</v>
      </c>
      <c r="D885">
        <v>2</v>
      </c>
      <c r="E885">
        <v>1784.43</v>
      </c>
      <c r="F885" t="s">
        <v>10</v>
      </c>
      <c r="G885" s="1">
        <v>46090</v>
      </c>
      <c r="H885">
        <f t="shared" si="26"/>
        <v>3568.86</v>
      </c>
      <c r="I885" t="str">
        <f t="shared" si="27"/>
        <v>March</v>
      </c>
    </row>
    <row r="886" spans="1:9" x14ac:dyDescent="0.3">
      <c r="A886" t="s">
        <v>920</v>
      </c>
      <c r="B886" t="s">
        <v>44</v>
      </c>
      <c r="C886" t="s">
        <v>39</v>
      </c>
      <c r="D886">
        <v>1</v>
      </c>
      <c r="E886">
        <v>3219.87</v>
      </c>
      <c r="F886" t="s">
        <v>26</v>
      </c>
      <c r="G886" s="1">
        <v>46033</v>
      </c>
      <c r="H886">
        <f t="shared" si="26"/>
        <v>3219.87</v>
      </c>
      <c r="I886" t="str">
        <f t="shared" si="27"/>
        <v>January</v>
      </c>
    </row>
    <row r="887" spans="1:9" x14ac:dyDescent="0.3">
      <c r="A887" t="s">
        <v>921</v>
      </c>
      <c r="B887" t="s">
        <v>38</v>
      </c>
      <c r="C887" t="s">
        <v>39</v>
      </c>
      <c r="D887">
        <v>3</v>
      </c>
      <c r="E887">
        <v>6318.28</v>
      </c>
      <c r="F887" t="s">
        <v>32</v>
      </c>
      <c r="G887" s="1">
        <v>46132</v>
      </c>
      <c r="H887">
        <f t="shared" si="26"/>
        <v>18954.84</v>
      </c>
      <c r="I887" t="str">
        <f t="shared" si="27"/>
        <v>April</v>
      </c>
    </row>
    <row r="888" spans="1:9" x14ac:dyDescent="0.3">
      <c r="A888" t="s">
        <v>922</v>
      </c>
      <c r="B888" t="s">
        <v>21</v>
      </c>
      <c r="C888" t="s">
        <v>13</v>
      </c>
      <c r="D888">
        <v>1</v>
      </c>
      <c r="E888">
        <v>25731.99</v>
      </c>
      <c r="F888" t="s">
        <v>46</v>
      </c>
      <c r="G888" s="1">
        <v>46025</v>
      </c>
      <c r="H888">
        <f t="shared" si="26"/>
        <v>25731.99</v>
      </c>
      <c r="I888" t="str">
        <f t="shared" si="27"/>
        <v>January</v>
      </c>
    </row>
    <row r="889" spans="1:9" x14ac:dyDescent="0.3">
      <c r="A889" t="s">
        <v>923</v>
      </c>
      <c r="B889" t="s">
        <v>38</v>
      </c>
      <c r="C889" t="s">
        <v>39</v>
      </c>
      <c r="D889">
        <v>2</v>
      </c>
      <c r="E889">
        <v>6712.36</v>
      </c>
      <c r="F889" t="s">
        <v>26</v>
      </c>
      <c r="G889" s="1">
        <v>46107</v>
      </c>
      <c r="H889">
        <f t="shared" si="26"/>
        <v>13424.72</v>
      </c>
      <c r="I889" t="str">
        <f t="shared" si="27"/>
        <v>March</v>
      </c>
    </row>
    <row r="890" spans="1:9" x14ac:dyDescent="0.3">
      <c r="A890" t="s">
        <v>924</v>
      </c>
      <c r="B890" t="s">
        <v>55</v>
      </c>
      <c r="C890" t="s">
        <v>25</v>
      </c>
      <c r="D890">
        <v>4</v>
      </c>
      <c r="E890">
        <v>2726.45</v>
      </c>
      <c r="F890" t="s">
        <v>10</v>
      </c>
      <c r="G890" s="1">
        <v>46046</v>
      </c>
      <c r="H890">
        <f t="shared" si="26"/>
        <v>10905.8</v>
      </c>
      <c r="I890" t="str">
        <f t="shared" si="27"/>
        <v>January</v>
      </c>
    </row>
    <row r="891" spans="1:9" x14ac:dyDescent="0.3">
      <c r="A891" t="s">
        <v>925</v>
      </c>
      <c r="B891" t="s">
        <v>55</v>
      </c>
      <c r="C891" t="s">
        <v>25</v>
      </c>
      <c r="D891">
        <v>3</v>
      </c>
      <c r="E891">
        <v>2340.5</v>
      </c>
      <c r="F891" t="s">
        <v>48</v>
      </c>
      <c r="G891" s="1">
        <v>46125</v>
      </c>
      <c r="H891">
        <f t="shared" si="26"/>
        <v>7021.5</v>
      </c>
      <c r="I891" t="str">
        <f t="shared" si="27"/>
        <v>April</v>
      </c>
    </row>
    <row r="892" spans="1:9" x14ac:dyDescent="0.3">
      <c r="A892" t="s">
        <v>926</v>
      </c>
      <c r="B892" t="s">
        <v>44</v>
      </c>
      <c r="C892" t="s">
        <v>39</v>
      </c>
      <c r="D892">
        <v>3</v>
      </c>
      <c r="E892">
        <v>3735</v>
      </c>
      <c r="F892" t="s">
        <v>22</v>
      </c>
      <c r="G892" s="1">
        <v>46130</v>
      </c>
      <c r="H892">
        <f t="shared" si="26"/>
        <v>11205</v>
      </c>
      <c r="I892" t="str">
        <f t="shared" si="27"/>
        <v>April</v>
      </c>
    </row>
    <row r="893" spans="1:9" x14ac:dyDescent="0.3">
      <c r="A893" t="s">
        <v>927</v>
      </c>
      <c r="B893" t="s">
        <v>8</v>
      </c>
      <c r="C893" t="s">
        <v>9</v>
      </c>
      <c r="D893">
        <v>2</v>
      </c>
      <c r="E893">
        <v>1660.7</v>
      </c>
      <c r="F893" t="s">
        <v>46</v>
      </c>
      <c r="G893" s="1">
        <v>46063</v>
      </c>
      <c r="H893">
        <f t="shared" si="26"/>
        <v>3321.4</v>
      </c>
      <c r="I893" t="str">
        <f t="shared" si="27"/>
        <v>February</v>
      </c>
    </row>
    <row r="894" spans="1:9" x14ac:dyDescent="0.3">
      <c r="A894" t="s">
        <v>928</v>
      </c>
      <c r="B894" t="s">
        <v>31</v>
      </c>
      <c r="C894" t="s">
        <v>13</v>
      </c>
      <c r="D894">
        <v>4</v>
      </c>
      <c r="E894">
        <v>19480.419999999998</v>
      </c>
      <c r="F894" t="s">
        <v>22</v>
      </c>
      <c r="G894" s="1">
        <v>46168</v>
      </c>
      <c r="H894">
        <f t="shared" si="26"/>
        <v>77921.679999999993</v>
      </c>
      <c r="I894" t="str">
        <f t="shared" si="27"/>
        <v>May</v>
      </c>
    </row>
    <row r="895" spans="1:9" x14ac:dyDescent="0.3">
      <c r="A895" t="s">
        <v>929</v>
      </c>
      <c r="B895" t="s">
        <v>8</v>
      </c>
      <c r="C895" t="s">
        <v>9</v>
      </c>
      <c r="D895">
        <v>4</v>
      </c>
      <c r="E895">
        <v>1685.25</v>
      </c>
      <c r="F895" t="s">
        <v>48</v>
      </c>
      <c r="G895" s="1">
        <v>46114</v>
      </c>
      <c r="H895">
        <f t="shared" si="26"/>
        <v>6741</v>
      </c>
      <c r="I895" t="str">
        <f t="shared" si="27"/>
        <v>April</v>
      </c>
    </row>
    <row r="896" spans="1:9" x14ac:dyDescent="0.3">
      <c r="A896" t="s">
        <v>930</v>
      </c>
      <c r="B896" t="s">
        <v>16</v>
      </c>
      <c r="C896" t="s">
        <v>17</v>
      </c>
      <c r="D896">
        <v>1</v>
      </c>
      <c r="E896">
        <v>482.63</v>
      </c>
      <c r="F896" t="s">
        <v>26</v>
      </c>
      <c r="G896" s="1">
        <v>46146</v>
      </c>
      <c r="H896">
        <f t="shared" si="26"/>
        <v>482.63</v>
      </c>
      <c r="I896" t="str">
        <f t="shared" si="27"/>
        <v>May</v>
      </c>
    </row>
    <row r="897" spans="1:9" x14ac:dyDescent="0.3">
      <c r="A897" t="s">
        <v>931</v>
      </c>
      <c r="B897" t="s">
        <v>44</v>
      </c>
      <c r="C897" t="s">
        <v>39</v>
      </c>
      <c r="D897">
        <v>1</v>
      </c>
      <c r="E897">
        <v>3771.32</v>
      </c>
      <c r="F897" t="s">
        <v>22</v>
      </c>
      <c r="G897" s="1">
        <v>46034</v>
      </c>
      <c r="H897">
        <f t="shared" si="26"/>
        <v>3771.32</v>
      </c>
      <c r="I897" t="str">
        <f t="shared" si="27"/>
        <v>January</v>
      </c>
    </row>
    <row r="898" spans="1:9" x14ac:dyDescent="0.3">
      <c r="A898" t="s">
        <v>932</v>
      </c>
      <c r="B898" t="s">
        <v>31</v>
      </c>
      <c r="C898" t="s">
        <v>13</v>
      </c>
      <c r="D898">
        <v>3</v>
      </c>
      <c r="E898">
        <v>18557.900000000001</v>
      </c>
      <c r="F898" t="s">
        <v>46</v>
      </c>
      <c r="G898" s="1">
        <v>46196</v>
      </c>
      <c r="H898">
        <f t="shared" si="26"/>
        <v>55673.700000000004</v>
      </c>
      <c r="I898" t="str">
        <f t="shared" si="27"/>
        <v>June</v>
      </c>
    </row>
    <row r="899" spans="1:9" x14ac:dyDescent="0.3">
      <c r="A899" t="s">
        <v>933</v>
      </c>
      <c r="B899" t="s">
        <v>80</v>
      </c>
      <c r="C899" t="s">
        <v>39</v>
      </c>
      <c r="D899">
        <v>5</v>
      </c>
      <c r="E899">
        <v>4387.97</v>
      </c>
      <c r="F899" t="s">
        <v>29</v>
      </c>
      <c r="G899" s="1">
        <v>46194</v>
      </c>
      <c r="H899">
        <f t="shared" ref="H899:H962" si="28">D899*E899</f>
        <v>21939.850000000002</v>
      </c>
      <c r="I899" t="str">
        <f t="shared" ref="I899:I962" si="29">TEXT(G899, "mmmm")</f>
        <v>June</v>
      </c>
    </row>
    <row r="900" spans="1:9" x14ac:dyDescent="0.3">
      <c r="A900" t="s">
        <v>934</v>
      </c>
      <c r="B900" t="s">
        <v>38</v>
      </c>
      <c r="C900" t="s">
        <v>39</v>
      </c>
      <c r="D900">
        <v>3</v>
      </c>
      <c r="E900">
        <v>6524.83</v>
      </c>
      <c r="F900" t="s">
        <v>50</v>
      </c>
      <c r="G900" s="1">
        <v>46047</v>
      </c>
      <c r="H900">
        <f t="shared" si="28"/>
        <v>19574.489999999998</v>
      </c>
      <c r="I900" t="str">
        <f t="shared" si="29"/>
        <v>January</v>
      </c>
    </row>
    <row r="901" spans="1:9" x14ac:dyDescent="0.3">
      <c r="A901" t="s">
        <v>935</v>
      </c>
      <c r="B901" t="s">
        <v>28</v>
      </c>
      <c r="C901" t="s">
        <v>9</v>
      </c>
      <c r="D901">
        <v>2</v>
      </c>
      <c r="E901">
        <v>4980.93</v>
      </c>
      <c r="F901" t="s">
        <v>48</v>
      </c>
      <c r="G901" s="1">
        <v>46061</v>
      </c>
      <c r="H901">
        <f t="shared" si="28"/>
        <v>9961.86</v>
      </c>
      <c r="I901" t="str">
        <f t="shared" si="29"/>
        <v>February</v>
      </c>
    </row>
    <row r="902" spans="1:9" x14ac:dyDescent="0.3">
      <c r="A902" t="s">
        <v>936</v>
      </c>
      <c r="B902" t="s">
        <v>38</v>
      </c>
      <c r="C902" t="s">
        <v>39</v>
      </c>
      <c r="D902">
        <v>5</v>
      </c>
      <c r="E902">
        <v>7009.68</v>
      </c>
      <c r="F902" t="s">
        <v>50</v>
      </c>
      <c r="G902" s="1">
        <v>46036</v>
      </c>
      <c r="H902">
        <f t="shared" si="28"/>
        <v>35048.400000000001</v>
      </c>
      <c r="I902" t="str">
        <f t="shared" si="29"/>
        <v>January</v>
      </c>
    </row>
    <row r="903" spans="1:9" x14ac:dyDescent="0.3">
      <c r="A903" t="s">
        <v>937</v>
      </c>
      <c r="B903" t="s">
        <v>91</v>
      </c>
      <c r="C903" t="s">
        <v>13</v>
      </c>
      <c r="D903">
        <v>2</v>
      </c>
      <c r="E903">
        <v>55061.24</v>
      </c>
      <c r="F903" t="s">
        <v>22</v>
      </c>
      <c r="G903" s="1">
        <v>46149</v>
      </c>
      <c r="H903">
        <f t="shared" si="28"/>
        <v>110122.48</v>
      </c>
      <c r="I903" t="str">
        <f t="shared" si="29"/>
        <v>May</v>
      </c>
    </row>
    <row r="904" spans="1:9" x14ac:dyDescent="0.3">
      <c r="A904" t="s">
        <v>938</v>
      </c>
      <c r="B904" t="s">
        <v>38</v>
      </c>
      <c r="C904" t="s">
        <v>39</v>
      </c>
      <c r="D904">
        <v>2</v>
      </c>
      <c r="E904">
        <v>5947.32</v>
      </c>
      <c r="F904" t="s">
        <v>22</v>
      </c>
      <c r="G904" s="1">
        <v>46105</v>
      </c>
      <c r="H904">
        <f t="shared" si="28"/>
        <v>11894.64</v>
      </c>
      <c r="I904" t="str">
        <f t="shared" si="29"/>
        <v>March</v>
      </c>
    </row>
    <row r="905" spans="1:9" x14ac:dyDescent="0.3">
      <c r="A905" t="s">
        <v>939</v>
      </c>
      <c r="B905" t="s">
        <v>12</v>
      </c>
      <c r="C905" t="s">
        <v>13</v>
      </c>
      <c r="D905">
        <v>3</v>
      </c>
      <c r="E905">
        <v>1641.04</v>
      </c>
      <c r="F905" t="s">
        <v>46</v>
      </c>
      <c r="G905" s="1">
        <v>46152</v>
      </c>
      <c r="H905">
        <f t="shared" si="28"/>
        <v>4923.12</v>
      </c>
      <c r="I905" t="str">
        <f t="shared" si="29"/>
        <v>May</v>
      </c>
    </row>
    <row r="906" spans="1:9" x14ac:dyDescent="0.3">
      <c r="A906" t="s">
        <v>940</v>
      </c>
      <c r="B906" t="s">
        <v>12</v>
      </c>
      <c r="C906" t="s">
        <v>13</v>
      </c>
      <c r="D906">
        <v>5</v>
      </c>
      <c r="E906">
        <v>1543</v>
      </c>
      <c r="F906" t="s">
        <v>48</v>
      </c>
      <c r="G906" s="1">
        <v>46083</v>
      </c>
      <c r="H906">
        <f t="shared" si="28"/>
        <v>7715</v>
      </c>
      <c r="I906" t="str">
        <f t="shared" si="29"/>
        <v>March</v>
      </c>
    </row>
    <row r="907" spans="1:9" x14ac:dyDescent="0.3">
      <c r="A907" t="s">
        <v>941</v>
      </c>
      <c r="B907" t="s">
        <v>31</v>
      </c>
      <c r="C907" t="s">
        <v>13</v>
      </c>
      <c r="D907">
        <v>4</v>
      </c>
      <c r="E907">
        <v>17799.080000000002</v>
      </c>
      <c r="F907" t="s">
        <v>50</v>
      </c>
      <c r="G907" s="1">
        <v>46137</v>
      </c>
      <c r="H907">
        <f t="shared" si="28"/>
        <v>71196.320000000007</v>
      </c>
      <c r="I907" t="str">
        <f t="shared" si="29"/>
        <v>April</v>
      </c>
    </row>
    <row r="908" spans="1:9" x14ac:dyDescent="0.3">
      <c r="A908" t="s">
        <v>942</v>
      </c>
      <c r="B908" t="s">
        <v>31</v>
      </c>
      <c r="C908" t="s">
        <v>13</v>
      </c>
      <c r="D908">
        <v>4</v>
      </c>
      <c r="E908">
        <v>17809.45</v>
      </c>
      <c r="F908" t="s">
        <v>18</v>
      </c>
      <c r="G908" s="1">
        <v>46150</v>
      </c>
      <c r="H908">
        <f t="shared" si="28"/>
        <v>71237.8</v>
      </c>
      <c r="I908" t="str">
        <f t="shared" si="29"/>
        <v>May</v>
      </c>
    </row>
    <row r="909" spans="1:9" x14ac:dyDescent="0.3">
      <c r="A909" t="s">
        <v>943</v>
      </c>
      <c r="B909" t="s">
        <v>21</v>
      </c>
      <c r="C909" t="s">
        <v>13</v>
      </c>
      <c r="D909">
        <v>1</v>
      </c>
      <c r="E909">
        <v>25774.799999999999</v>
      </c>
      <c r="F909" t="s">
        <v>48</v>
      </c>
      <c r="G909" s="1">
        <v>46032</v>
      </c>
      <c r="H909">
        <f t="shared" si="28"/>
        <v>25774.799999999999</v>
      </c>
      <c r="I909" t="str">
        <f t="shared" si="29"/>
        <v>January</v>
      </c>
    </row>
    <row r="910" spans="1:9" x14ac:dyDescent="0.3">
      <c r="A910" t="s">
        <v>944</v>
      </c>
      <c r="B910" t="s">
        <v>80</v>
      </c>
      <c r="C910" t="s">
        <v>39</v>
      </c>
      <c r="D910">
        <v>5</v>
      </c>
      <c r="E910">
        <v>3780.14</v>
      </c>
      <c r="F910" t="s">
        <v>18</v>
      </c>
      <c r="G910" s="1">
        <v>46177</v>
      </c>
      <c r="H910">
        <f t="shared" si="28"/>
        <v>18900.7</v>
      </c>
      <c r="I910" t="str">
        <f t="shared" si="29"/>
        <v>June</v>
      </c>
    </row>
    <row r="911" spans="1:9" x14ac:dyDescent="0.3">
      <c r="A911" t="s">
        <v>945</v>
      </c>
      <c r="B911" t="s">
        <v>16</v>
      </c>
      <c r="C911" t="s">
        <v>17</v>
      </c>
      <c r="D911">
        <v>3</v>
      </c>
      <c r="E911">
        <v>485.11</v>
      </c>
      <c r="F911" t="s">
        <v>14</v>
      </c>
      <c r="G911" s="1">
        <v>46075</v>
      </c>
      <c r="H911">
        <f t="shared" si="28"/>
        <v>1455.33</v>
      </c>
      <c r="I911" t="str">
        <f t="shared" si="29"/>
        <v>February</v>
      </c>
    </row>
    <row r="912" spans="1:9" x14ac:dyDescent="0.3">
      <c r="A912" t="s">
        <v>946</v>
      </c>
      <c r="B912" t="s">
        <v>8</v>
      </c>
      <c r="C912" t="s">
        <v>9</v>
      </c>
      <c r="D912">
        <v>4</v>
      </c>
      <c r="E912">
        <v>1962.13</v>
      </c>
      <c r="F912" t="s">
        <v>32</v>
      </c>
      <c r="G912" s="1">
        <v>46036</v>
      </c>
      <c r="H912">
        <f t="shared" si="28"/>
        <v>7848.52</v>
      </c>
      <c r="I912" t="str">
        <f t="shared" si="29"/>
        <v>January</v>
      </c>
    </row>
    <row r="913" spans="1:9" x14ac:dyDescent="0.3">
      <c r="A913" t="s">
        <v>947</v>
      </c>
      <c r="B913" t="s">
        <v>38</v>
      </c>
      <c r="C913" t="s">
        <v>39</v>
      </c>
      <c r="D913">
        <v>2</v>
      </c>
      <c r="E913">
        <v>6947.61</v>
      </c>
      <c r="F913" t="s">
        <v>32</v>
      </c>
      <c r="G913" s="1">
        <v>46166</v>
      </c>
      <c r="H913">
        <f t="shared" si="28"/>
        <v>13895.22</v>
      </c>
      <c r="I913" t="str">
        <f t="shared" si="29"/>
        <v>May</v>
      </c>
    </row>
    <row r="914" spans="1:9" x14ac:dyDescent="0.3">
      <c r="A914" t="s">
        <v>948</v>
      </c>
      <c r="B914" t="s">
        <v>62</v>
      </c>
      <c r="C914" t="s">
        <v>25</v>
      </c>
      <c r="D914">
        <v>5</v>
      </c>
      <c r="E914">
        <v>2038.96</v>
      </c>
      <c r="F914" t="s">
        <v>32</v>
      </c>
      <c r="G914" s="1">
        <v>46138</v>
      </c>
      <c r="H914">
        <f t="shared" si="28"/>
        <v>10194.799999999999</v>
      </c>
      <c r="I914" t="str">
        <f t="shared" si="29"/>
        <v>April</v>
      </c>
    </row>
    <row r="915" spans="1:9" x14ac:dyDescent="0.3">
      <c r="A915" t="s">
        <v>949</v>
      </c>
      <c r="B915" t="s">
        <v>31</v>
      </c>
      <c r="C915" t="s">
        <v>13</v>
      </c>
      <c r="D915">
        <v>1</v>
      </c>
      <c r="E915">
        <v>18933.55</v>
      </c>
      <c r="F915" t="s">
        <v>29</v>
      </c>
      <c r="G915" s="1">
        <v>46023</v>
      </c>
      <c r="H915">
        <f t="shared" si="28"/>
        <v>18933.55</v>
      </c>
      <c r="I915" t="str">
        <f t="shared" si="29"/>
        <v>January</v>
      </c>
    </row>
    <row r="916" spans="1:9" x14ac:dyDescent="0.3">
      <c r="A916" t="s">
        <v>950</v>
      </c>
      <c r="B916" t="s">
        <v>55</v>
      </c>
      <c r="C916" t="s">
        <v>25</v>
      </c>
      <c r="D916">
        <v>3</v>
      </c>
      <c r="E916">
        <v>2663.88</v>
      </c>
      <c r="F916" t="s">
        <v>10</v>
      </c>
      <c r="G916" s="1">
        <v>46163</v>
      </c>
      <c r="H916">
        <f t="shared" si="28"/>
        <v>7991.64</v>
      </c>
      <c r="I916" t="str">
        <f t="shared" si="29"/>
        <v>May</v>
      </c>
    </row>
    <row r="917" spans="1:9" x14ac:dyDescent="0.3">
      <c r="A917" t="s">
        <v>951</v>
      </c>
      <c r="B917" t="s">
        <v>80</v>
      </c>
      <c r="C917" t="s">
        <v>39</v>
      </c>
      <c r="D917">
        <v>3</v>
      </c>
      <c r="E917">
        <v>4369.76</v>
      </c>
      <c r="F917" t="s">
        <v>46</v>
      </c>
      <c r="G917" s="1">
        <v>46065</v>
      </c>
      <c r="H917">
        <f t="shared" si="28"/>
        <v>13109.28</v>
      </c>
      <c r="I917" t="str">
        <f t="shared" si="29"/>
        <v>February</v>
      </c>
    </row>
    <row r="918" spans="1:9" x14ac:dyDescent="0.3">
      <c r="A918" t="s">
        <v>952</v>
      </c>
      <c r="B918" t="s">
        <v>44</v>
      </c>
      <c r="C918" t="s">
        <v>39</v>
      </c>
      <c r="D918">
        <v>2</v>
      </c>
      <c r="E918">
        <v>3725.29</v>
      </c>
      <c r="F918" t="s">
        <v>48</v>
      </c>
      <c r="G918" s="1">
        <v>46050</v>
      </c>
      <c r="H918">
        <f t="shared" si="28"/>
        <v>7450.58</v>
      </c>
      <c r="I918" t="str">
        <f t="shared" si="29"/>
        <v>January</v>
      </c>
    </row>
    <row r="919" spans="1:9" x14ac:dyDescent="0.3">
      <c r="A919" t="s">
        <v>953</v>
      </c>
      <c r="B919" t="s">
        <v>24</v>
      </c>
      <c r="C919" t="s">
        <v>25</v>
      </c>
      <c r="D919">
        <v>5</v>
      </c>
      <c r="E919">
        <v>750.41</v>
      </c>
      <c r="F919" t="s">
        <v>18</v>
      </c>
      <c r="G919" s="1">
        <v>46123</v>
      </c>
      <c r="H919">
        <f t="shared" si="28"/>
        <v>3752.0499999999997</v>
      </c>
      <c r="I919" t="str">
        <f t="shared" si="29"/>
        <v>April</v>
      </c>
    </row>
    <row r="920" spans="1:9" x14ac:dyDescent="0.3">
      <c r="A920" t="s">
        <v>954</v>
      </c>
      <c r="B920" t="s">
        <v>12</v>
      </c>
      <c r="C920" t="s">
        <v>13</v>
      </c>
      <c r="D920">
        <v>4</v>
      </c>
      <c r="E920">
        <v>1597.37</v>
      </c>
      <c r="F920" t="s">
        <v>29</v>
      </c>
      <c r="G920" s="1">
        <v>46109</v>
      </c>
      <c r="H920">
        <f t="shared" si="28"/>
        <v>6389.48</v>
      </c>
      <c r="I920" t="str">
        <f t="shared" si="29"/>
        <v>March</v>
      </c>
    </row>
    <row r="921" spans="1:9" x14ac:dyDescent="0.3">
      <c r="A921" t="s">
        <v>955</v>
      </c>
      <c r="B921" t="s">
        <v>31</v>
      </c>
      <c r="C921" t="s">
        <v>13</v>
      </c>
      <c r="D921">
        <v>4</v>
      </c>
      <c r="E921">
        <v>16367.4</v>
      </c>
      <c r="F921" t="s">
        <v>50</v>
      </c>
      <c r="G921" s="1">
        <v>46054</v>
      </c>
      <c r="H921">
        <f t="shared" si="28"/>
        <v>65469.599999999999</v>
      </c>
      <c r="I921" t="str">
        <f t="shared" si="29"/>
        <v>February</v>
      </c>
    </row>
    <row r="922" spans="1:9" x14ac:dyDescent="0.3">
      <c r="A922" t="s">
        <v>956</v>
      </c>
      <c r="B922" t="s">
        <v>62</v>
      </c>
      <c r="C922" t="s">
        <v>25</v>
      </c>
      <c r="D922">
        <v>4</v>
      </c>
      <c r="E922">
        <v>1981.96</v>
      </c>
      <c r="F922" t="s">
        <v>50</v>
      </c>
      <c r="G922" s="1">
        <v>46152</v>
      </c>
      <c r="H922">
        <f t="shared" si="28"/>
        <v>7927.84</v>
      </c>
      <c r="I922" t="str">
        <f t="shared" si="29"/>
        <v>May</v>
      </c>
    </row>
    <row r="923" spans="1:9" x14ac:dyDescent="0.3">
      <c r="A923" t="s">
        <v>957</v>
      </c>
      <c r="B923" t="s">
        <v>72</v>
      </c>
      <c r="C923" t="s">
        <v>13</v>
      </c>
      <c r="D923">
        <v>4</v>
      </c>
      <c r="E923">
        <v>1981.91</v>
      </c>
      <c r="F923" t="s">
        <v>46</v>
      </c>
      <c r="G923" s="1">
        <v>46164</v>
      </c>
      <c r="H923">
        <f t="shared" si="28"/>
        <v>7927.64</v>
      </c>
      <c r="I923" t="str">
        <f t="shared" si="29"/>
        <v>May</v>
      </c>
    </row>
    <row r="924" spans="1:9" x14ac:dyDescent="0.3">
      <c r="A924" t="s">
        <v>958</v>
      </c>
      <c r="B924" t="s">
        <v>28</v>
      </c>
      <c r="C924" t="s">
        <v>9</v>
      </c>
      <c r="D924">
        <v>5</v>
      </c>
      <c r="E924">
        <v>4981.9399999999996</v>
      </c>
      <c r="F924" t="s">
        <v>14</v>
      </c>
      <c r="G924" s="1">
        <v>46068</v>
      </c>
      <c r="H924">
        <f t="shared" si="28"/>
        <v>24909.699999999997</v>
      </c>
      <c r="I924" t="str">
        <f t="shared" si="29"/>
        <v>February</v>
      </c>
    </row>
    <row r="925" spans="1:9" x14ac:dyDescent="0.3">
      <c r="A925" t="s">
        <v>959</v>
      </c>
      <c r="B925" t="s">
        <v>21</v>
      </c>
      <c r="C925" t="s">
        <v>13</v>
      </c>
      <c r="D925">
        <v>5</v>
      </c>
      <c r="E925">
        <v>26172.44</v>
      </c>
      <c r="F925" t="s">
        <v>26</v>
      </c>
      <c r="G925" s="1">
        <v>46049</v>
      </c>
      <c r="H925">
        <f t="shared" si="28"/>
        <v>130862.2</v>
      </c>
      <c r="I925" t="str">
        <f t="shared" si="29"/>
        <v>January</v>
      </c>
    </row>
    <row r="926" spans="1:9" x14ac:dyDescent="0.3">
      <c r="A926" t="s">
        <v>960</v>
      </c>
      <c r="B926" t="s">
        <v>28</v>
      </c>
      <c r="C926" t="s">
        <v>9</v>
      </c>
      <c r="D926">
        <v>5</v>
      </c>
      <c r="E926">
        <v>5105.1400000000003</v>
      </c>
      <c r="F926" t="s">
        <v>32</v>
      </c>
      <c r="G926" s="1">
        <v>46152</v>
      </c>
      <c r="H926">
        <f t="shared" si="28"/>
        <v>25525.7</v>
      </c>
      <c r="I926" t="str">
        <f t="shared" si="29"/>
        <v>May</v>
      </c>
    </row>
    <row r="927" spans="1:9" x14ac:dyDescent="0.3">
      <c r="A927" t="s">
        <v>961</v>
      </c>
      <c r="B927" t="s">
        <v>28</v>
      </c>
      <c r="C927" t="s">
        <v>9</v>
      </c>
      <c r="D927">
        <v>4</v>
      </c>
      <c r="E927">
        <v>5478.4</v>
      </c>
      <c r="F927" t="s">
        <v>29</v>
      </c>
      <c r="G927" s="1">
        <v>46093</v>
      </c>
      <c r="H927">
        <f t="shared" si="28"/>
        <v>21913.599999999999</v>
      </c>
      <c r="I927" t="str">
        <f t="shared" si="29"/>
        <v>March</v>
      </c>
    </row>
    <row r="928" spans="1:9" x14ac:dyDescent="0.3">
      <c r="A928" t="s">
        <v>962</v>
      </c>
      <c r="B928" t="s">
        <v>28</v>
      </c>
      <c r="C928" t="s">
        <v>9</v>
      </c>
      <c r="D928">
        <v>3</v>
      </c>
      <c r="E928">
        <v>5469.4</v>
      </c>
      <c r="F928" t="s">
        <v>22</v>
      </c>
      <c r="G928" s="1">
        <v>46057</v>
      </c>
      <c r="H928">
        <f t="shared" si="28"/>
        <v>16408.199999999997</v>
      </c>
      <c r="I928" t="str">
        <f t="shared" si="29"/>
        <v>February</v>
      </c>
    </row>
    <row r="929" spans="1:9" x14ac:dyDescent="0.3">
      <c r="A929" t="s">
        <v>963</v>
      </c>
      <c r="B929" t="s">
        <v>72</v>
      </c>
      <c r="C929" t="s">
        <v>13</v>
      </c>
      <c r="D929">
        <v>4</v>
      </c>
      <c r="E929">
        <v>2245.11</v>
      </c>
      <c r="F929" t="s">
        <v>14</v>
      </c>
      <c r="G929" s="1">
        <v>46099</v>
      </c>
      <c r="H929">
        <f t="shared" si="28"/>
        <v>8980.44</v>
      </c>
      <c r="I929" t="str">
        <f t="shared" si="29"/>
        <v>March</v>
      </c>
    </row>
    <row r="930" spans="1:9" x14ac:dyDescent="0.3">
      <c r="A930" t="s">
        <v>964</v>
      </c>
      <c r="B930" t="s">
        <v>38</v>
      </c>
      <c r="C930" t="s">
        <v>39</v>
      </c>
      <c r="D930">
        <v>5</v>
      </c>
      <c r="E930">
        <v>6968.92</v>
      </c>
      <c r="F930" t="s">
        <v>14</v>
      </c>
      <c r="G930" s="1">
        <v>46184</v>
      </c>
      <c r="H930">
        <f t="shared" si="28"/>
        <v>34844.6</v>
      </c>
      <c r="I930" t="str">
        <f t="shared" si="29"/>
        <v>June</v>
      </c>
    </row>
    <row r="931" spans="1:9" x14ac:dyDescent="0.3">
      <c r="A931" t="s">
        <v>965</v>
      </c>
      <c r="B931" t="s">
        <v>12</v>
      </c>
      <c r="C931" t="s">
        <v>13</v>
      </c>
      <c r="D931">
        <v>2</v>
      </c>
      <c r="E931">
        <v>1412.91</v>
      </c>
      <c r="F931" t="s">
        <v>10</v>
      </c>
      <c r="G931" s="1">
        <v>46198</v>
      </c>
      <c r="H931">
        <f t="shared" si="28"/>
        <v>2825.82</v>
      </c>
      <c r="I931" t="str">
        <f t="shared" si="29"/>
        <v>June</v>
      </c>
    </row>
    <row r="932" spans="1:9" x14ac:dyDescent="0.3">
      <c r="A932" t="s">
        <v>966</v>
      </c>
      <c r="B932" t="s">
        <v>55</v>
      </c>
      <c r="C932" t="s">
        <v>25</v>
      </c>
      <c r="D932">
        <v>2</v>
      </c>
      <c r="E932">
        <v>2739.57</v>
      </c>
      <c r="F932" t="s">
        <v>26</v>
      </c>
      <c r="G932" s="1">
        <v>46151</v>
      </c>
      <c r="H932">
        <f t="shared" si="28"/>
        <v>5479.14</v>
      </c>
      <c r="I932" t="str">
        <f t="shared" si="29"/>
        <v>May</v>
      </c>
    </row>
    <row r="933" spans="1:9" x14ac:dyDescent="0.3">
      <c r="A933" t="s">
        <v>967</v>
      </c>
      <c r="B933" t="s">
        <v>80</v>
      </c>
      <c r="C933" t="s">
        <v>39</v>
      </c>
      <c r="D933">
        <v>3</v>
      </c>
      <c r="E933">
        <v>4376.7</v>
      </c>
      <c r="F933" t="s">
        <v>32</v>
      </c>
      <c r="G933" s="1">
        <v>46166</v>
      </c>
      <c r="H933">
        <f t="shared" si="28"/>
        <v>13130.099999999999</v>
      </c>
      <c r="I933" t="str">
        <f t="shared" si="29"/>
        <v>May</v>
      </c>
    </row>
    <row r="934" spans="1:9" x14ac:dyDescent="0.3">
      <c r="A934" t="s">
        <v>968</v>
      </c>
      <c r="B934" t="s">
        <v>44</v>
      </c>
      <c r="C934" t="s">
        <v>39</v>
      </c>
      <c r="D934">
        <v>5</v>
      </c>
      <c r="E934">
        <v>3549.45</v>
      </c>
      <c r="F934" t="s">
        <v>48</v>
      </c>
      <c r="G934" s="1">
        <v>46195</v>
      </c>
      <c r="H934">
        <f t="shared" si="28"/>
        <v>17747.25</v>
      </c>
      <c r="I934" t="str">
        <f t="shared" si="29"/>
        <v>June</v>
      </c>
    </row>
    <row r="935" spans="1:9" x14ac:dyDescent="0.3">
      <c r="A935" t="s">
        <v>969</v>
      </c>
      <c r="B935" t="s">
        <v>21</v>
      </c>
      <c r="C935" t="s">
        <v>13</v>
      </c>
      <c r="D935">
        <v>5</v>
      </c>
      <c r="E935">
        <v>26801.200000000001</v>
      </c>
      <c r="F935" t="s">
        <v>48</v>
      </c>
      <c r="G935" s="1">
        <v>46026</v>
      </c>
      <c r="H935">
        <f t="shared" si="28"/>
        <v>134006</v>
      </c>
      <c r="I935" t="str">
        <f t="shared" si="29"/>
        <v>January</v>
      </c>
    </row>
    <row r="936" spans="1:9" x14ac:dyDescent="0.3">
      <c r="A936" t="s">
        <v>970</v>
      </c>
      <c r="B936" t="s">
        <v>80</v>
      </c>
      <c r="C936" t="s">
        <v>39</v>
      </c>
      <c r="D936">
        <v>1</v>
      </c>
      <c r="E936">
        <v>3801.23</v>
      </c>
      <c r="F936" t="s">
        <v>26</v>
      </c>
      <c r="G936" s="1">
        <v>46036</v>
      </c>
      <c r="H936">
        <f t="shared" si="28"/>
        <v>3801.23</v>
      </c>
      <c r="I936" t="str">
        <f t="shared" si="29"/>
        <v>January</v>
      </c>
    </row>
    <row r="937" spans="1:9" x14ac:dyDescent="0.3">
      <c r="A937" t="s">
        <v>971</v>
      </c>
      <c r="B937" t="s">
        <v>8</v>
      </c>
      <c r="C937" t="s">
        <v>9</v>
      </c>
      <c r="D937">
        <v>1</v>
      </c>
      <c r="E937">
        <v>1691.96</v>
      </c>
      <c r="F937" t="s">
        <v>26</v>
      </c>
      <c r="G937" s="1">
        <v>46096</v>
      </c>
      <c r="H937">
        <f t="shared" si="28"/>
        <v>1691.96</v>
      </c>
      <c r="I937" t="str">
        <f t="shared" si="29"/>
        <v>March</v>
      </c>
    </row>
    <row r="938" spans="1:9" x14ac:dyDescent="0.3">
      <c r="A938" t="s">
        <v>972</v>
      </c>
      <c r="B938" t="s">
        <v>8</v>
      </c>
      <c r="C938" t="s">
        <v>9</v>
      </c>
      <c r="D938">
        <v>3</v>
      </c>
      <c r="E938">
        <v>1672.71</v>
      </c>
      <c r="F938" t="s">
        <v>46</v>
      </c>
      <c r="G938" s="1">
        <v>46199</v>
      </c>
      <c r="H938">
        <f t="shared" si="28"/>
        <v>5018.13</v>
      </c>
      <c r="I938" t="str">
        <f t="shared" si="29"/>
        <v>June</v>
      </c>
    </row>
    <row r="939" spans="1:9" x14ac:dyDescent="0.3">
      <c r="A939" t="s">
        <v>973</v>
      </c>
      <c r="B939" t="s">
        <v>62</v>
      </c>
      <c r="C939" t="s">
        <v>25</v>
      </c>
      <c r="D939">
        <v>3</v>
      </c>
      <c r="E939">
        <v>1880.66</v>
      </c>
      <c r="F939" t="s">
        <v>14</v>
      </c>
      <c r="G939" s="1">
        <v>46031</v>
      </c>
      <c r="H939">
        <f t="shared" si="28"/>
        <v>5641.9800000000005</v>
      </c>
      <c r="I939" t="str">
        <f t="shared" si="29"/>
        <v>January</v>
      </c>
    </row>
    <row r="940" spans="1:9" x14ac:dyDescent="0.3">
      <c r="A940" t="s">
        <v>974</v>
      </c>
      <c r="B940" t="s">
        <v>55</v>
      </c>
      <c r="C940" t="s">
        <v>25</v>
      </c>
      <c r="D940">
        <v>4</v>
      </c>
      <c r="E940">
        <v>2300.3200000000002</v>
      </c>
      <c r="F940" t="s">
        <v>14</v>
      </c>
      <c r="G940" s="1">
        <v>46080</v>
      </c>
      <c r="H940">
        <f t="shared" si="28"/>
        <v>9201.2800000000007</v>
      </c>
      <c r="I940" t="str">
        <f t="shared" si="29"/>
        <v>February</v>
      </c>
    </row>
    <row r="941" spans="1:9" x14ac:dyDescent="0.3">
      <c r="A941" t="s">
        <v>975</v>
      </c>
      <c r="B941" t="s">
        <v>21</v>
      </c>
      <c r="C941" t="s">
        <v>13</v>
      </c>
      <c r="D941">
        <v>5</v>
      </c>
      <c r="E941">
        <v>27377.77</v>
      </c>
      <c r="F941" t="s">
        <v>14</v>
      </c>
      <c r="G941" s="1">
        <v>46201</v>
      </c>
      <c r="H941">
        <f t="shared" si="28"/>
        <v>136888.85</v>
      </c>
      <c r="I941" t="str">
        <f t="shared" si="29"/>
        <v>June</v>
      </c>
    </row>
    <row r="942" spans="1:9" x14ac:dyDescent="0.3">
      <c r="A942" t="s">
        <v>976</v>
      </c>
      <c r="B942" t="s">
        <v>24</v>
      </c>
      <c r="C942" t="s">
        <v>25</v>
      </c>
      <c r="D942">
        <v>1</v>
      </c>
      <c r="E942">
        <v>867.15</v>
      </c>
      <c r="F942" t="s">
        <v>48</v>
      </c>
      <c r="G942" s="1">
        <v>46129</v>
      </c>
      <c r="H942">
        <f t="shared" si="28"/>
        <v>867.15</v>
      </c>
      <c r="I942" t="str">
        <f t="shared" si="29"/>
        <v>April</v>
      </c>
    </row>
    <row r="943" spans="1:9" x14ac:dyDescent="0.3">
      <c r="A943" t="s">
        <v>977</v>
      </c>
      <c r="B943" t="s">
        <v>62</v>
      </c>
      <c r="C943" t="s">
        <v>25</v>
      </c>
      <c r="D943">
        <v>3</v>
      </c>
      <c r="E943">
        <v>2185.2399999999998</v>
      </c>
      <c r="F943" t="s">
        <v>46</v>
      </c>
      <c r="G943" s="1">
        <v>46026</v>
      </c>
      <c r="H943">
        <f t="shared" si="28"/>
        <v>6555.7199999999993</v>
      </c>
      <c r="I943" t="str">
        <f t="shared" si="29"/>
        <v>January</v>
      </c>
    </row>
    <row r="944" spans="1:9" x14ac:dyDescent="0.3">
      <c r="A944" t="s">
        <v>978</v>
      </c>
      <c r="B944" t="s">
        <v>21</v>
      </c>
      <c r="C944" t="s">
        <v>13</v>
      </c>
      <c r="D944">
        <v>3</v>
      </c>
      <c r="E944">
        <v>26337.29</v>
      </c>
      <c r="F944" t="s">
        <v>22</v>
      </c>
      <c r="G944" s="1">
        <v>46080</v>
      </c>
      <c r="H944">
        <f t="shared" si="28"/>
        <v>79011.87</v>
      </c>
      <c r="I944" t="str">
        <f t="shared" si="29"/>
        <v>February</v>
      </c>
    </row>
    <row r="945" spans="1:9" x14ac:dyDescent="0.3">
      <c r="A945" t="s">
        <v>979</v>
      </c>
      <c r="B945" t="s">
        <v>8</v>
      </c>
      <c r="C945" t="s">
        <v>9</v>
      </c>
      <c r="D945">
        <v>3</v>
      </c>
      <c r="E945">
        <v>1891.84</v>
      </c>
      <c r="F945" t="s">
        <v>14</v>
      </c>
      <c r="G945" s="1">
        <v>46177</v>
      </c>
      <c r="H945">
        <f t="shared" si="28"/>
        <v>5675.5199999999995</v>
      </c>
      <c r="I945" t="str">
        <f t="shared" si="29"/>
        <v>June</v>
      </c>
    </row>
    <row r="946" spans="1:9" x14ac:dyDescent="0.3">
      <c r="A946" t="s">
        <v>980</v>
      </c>
      <c r="B946" t="s">
        <v>12</v>
      </c>
      <c r="C946" t="s">
        <v>13</v>
      </c>
      <c r="D946">
        <v>2</v>
      </c>
      <c r="E946">
        <v>1438.25</v>
      </c>
      <c r="F946" t="s">
        <v>26</v>
      </c>
      <c r="G946" s="1">
        <v>46197</v>
      </c>
      <c r="H946">
        <f t="shared" si="28"/>
        <v>2876.5</v>
      </c>
      <c r="I946" t="str">
        <f t="shared" si="29"/>
        <v>June</v>
      </c>
    </row>
    <row r="947" spans="1:9" x14ac:dyDescent="0.3">
      <c r="A947" t="s">
        <v>981</v>
      </c>
      <c r="B947" t="s">
        <v>31</v>
      </c>
      <c r="C947" t="s">
        <v>13</v>
      </c>
      <c r="D947">
        <v>2</v>
      </c>
      <c r="E947">
        <v>19664.91</v>
      </c>
      <c r="F947" t="s">
        <v>14</v>
      </c>
      <c r="G947" s="1">
        <v>46053</v>
      </c>
      <c r="H947">
        <f t="shared" si="28"/>
        <v>39329.82</v>
      </c>
      <c r="I947" t="str">
        <f t="shared" si="29"/>
        <v>January</v>
      </c>
    </row>
    <row r="948" spans="1:9" x14ac:dyDescent="0.3">
      <c r="A948" t="s">
        <v>982</v>
      </c>
      <c r="B948" t="s">
        <v>28</v>
      </c>
      <c r="C948" t="s">
        <v>9</v>
      </c>
      <c r="D948">
        <v>1</v>
      </c>
      <c r="E948">
        <v>4927.5200000000004</v>
      </c>
      <c r="F948" t="s">
        <v>14</v>
      </c>
      <c r="G948" s="1">
        <v>46090</v>
      </c>
      <c r="H948">
        <f t="shared" si="28"/>
        <v>4927.5200000000004</v>
      </c>
      <c r="I948" t="str">
        <f t="shared" si="29"/>
        <v>March</v>
      </c>
    </row>
    <row r="949" spans="1:9" x14ac:dyDescent="0.3">
      <c r="A949" t="s">
        <v>983</v>
      </c>
      <c r="B949" t="s">
        <v>72</v>
      </c>
      <c r="C949" t="s">
        <v>13</v>
      </c>
      <c r="D949">
        <v>2</v>
      </c>
      <c r="E949">
        <v>2236.9499999999998</v>
      </c>
      <c r="F949" t="s">
        <v>10</v>
      </c>
      <c r="G949" s="1">
        <v>46024</v>
      </c>
      <c r="H949">
        <f t="shared" si="28"/>
        <v>4473.8999999999996</v>
      </c>
      <c r="I949" t="str">
        <f t="shared" si="29"/>
        <v>January</v>
      </c>
    </row>
    <row r="950" spans="1:9" x14ac:dyDescent="0.3">
      <c r="A950" t="s">
        <v>984</v>
      </c>
      <c r="B950" t="s">
        <v>55</v>
      </c>
      <c r="C950" t="s">
        <v>25</v>
      </c>
      <c r="D950">
        <v>4</v>
      </c>
      <c r="E950">
        <v>2603.8000000000002</v>
      </c>
      <c r="F950" t="s">
        <v>26</v>
      </c>
      <c r="G950" s="1">
        <v>46033</v>
      </c>
      <c r="H950">
        <f t="shared" si="28"/>
        <v>10415.200000000001</v>
      </c>
      <c r="I950" t="str">
        <f t="shared" si="29"/>
        <v>January</v>
      </c>
    </row>
    <row r="951" spans="1:9" x14ac:dyDescent="0.3">
      <c r="A951" t="s">
        <v>985</v>
      </c>
      <c r="B951" t="s">
        <v>72</v>
      </c>
      <c r="C951" t="s">
        <v>13</v>
      </c>
      <c r="D951">
        <v>3</v>
      </c>
      <c r="E951">
        <v>2242.63</v>
      </c>
      <c r="F951" t="s">
        <v>50</v>
      </c>
      <c r="G951" s="1">
        <v>46192</v>
      </c>
      <c r="H951">
        <f t="shared" si="28"/>
        <v>6727.89</v>
      </c>
      <c r="I951" t="str">
        <f t="shared" si="29"/>
        <v>June</v>
      </c>
    </row>
    <row r="952" spans="1:9" x14ac:dyDescent="0.3">
      <c r="A952" t="s">
        <v>986</v>
      </c>
      <c r="B952" t="s">
        <v>24</v>
      </c>
      <c r="C952" t="s">
        <v>25</v>
      </c>
      <c r="D952">
        <v>4</v>
      </c>
      <c r="E952">
        <v>845.33</v>
      </c>
      <c r="F952" t="s">
        <v>14</v>
      </c>
      <c r="G952" s="1">
        <v>46114</v>
      </c>
      <c r="H952">
        <f t="shared" si="28"/>
        <v>3381.32</v>
      </c>
      <c r="I952" t="str">
        <f t="shared" si="29"/>
        <v>April</v>
      </c>
    </row>
    <row r="953" spans="1:9" x14ac:dyDescent="0.3">
      <c r="A953" t="s">
        <v>987</v>
      </c>
      <c r="B953" t="s">
        <v>31</v>
      </c>
      <c r="C953" t="s">
        <v>13</v>
      </c>
      <c r="D953">
        <v>3</v>
      </c>
      <c r="E953">
        <v>18091.419999999998</v>
      </c>
      <c r="F953" t="s">
        <v>26</v>
      </c>
      <c r="G953" s="1">
        <v>46156</v>
      </c>
      <c r="H953">
        <f t="shared" si="28"/>
        <v>54274.259999999995</v>
      </c>
      <c r="I953" t="str">
        <f t="shared" si="29"/>
        <v>May</v>
      </c>
    </row>
    <row r="954" spans="1:9" x14ac:dyDescent="0.3">
      <c r="A954" t="s">
        <v>988</v>
      </c>
      <c r="B954" t="s">
        <v>31</v>
      </c>
      <c r="C954" t="s">
        <v>13</v>
      </c>
      <c r="D954">
        <v>5</v>
      </c>
      <c r="E954">
        <v>16773.73</v>
      </c>
      <c r="F954" t="s">
        <v>14</v>
      </c>
      <c r="G954" s="1">
        <v>46160</v>
      </c>
      <c r="H954">
        <f t="shared" si="28"/>
        <v>83868.649999999994</v>
      </c>
      <c r="I954" t="str">
        <f t="shared" si="29"/>
        <v>May</v>
      </c>
    </row>
    <row r="955" spans="1:9" x14ac:dyDescent="0.3">
      <c r="A955" t="s">
        <v>989</v>
      </c>
      <c r="B955" t="s">
        <v>28</v>
      </c>
      <c r="C955" t="s">
        <v>9</v>
      </c>
      <c r="D955">
        <v>1</v>
      </c>
      <c r="E955">
        <v>4848.43</v>
      </c>
      <c r="F955" t="s">
        <v>29</v>
      </c>
      <c r="G955" s="1">
        <v>46192</v>
      </c>
      <c r="H955">
        <f t="shared" si="28"/>
        <v>4848.43</v>
      </c>
      <c r="I955" t="str">
        <f t="shared" si="29"/>
        <v>June</v>
      </c>
    </row>
    <row r="956" spans="1:9" x14ac:dyDescent="0.3">
      <c r="A956" t="s">
        <v>990</v>
      </c>
      <c r="B956" t="s">
        <v>55</v>
      </c>
      <c r="C956" t="s">
        <v>25</v>
      </c>
      <c r="D956">
        <v>3</v>
      </c>
      <c r="E956">
        <v>2429.4299999999998</v>
      </c>
      <c r="F956" t="s">
        <v>29</v>
      </c>
      <c r="G956" s="1">
        <v>46181</v>
      </c>
      <c r="H956">
        <f t="shared" si="28"/>
        <v>7288.2899999999991</v>
      </c>
      <c r="I956" t="str">
        <f t="shared" si="29"/>
        <v>June</v>
      </c>
    </row>
    <row r="957" spans="1:9" x14ac:dyDescent="0.3">
      <c r="A957" t="s">
        <v>991</v>
      </c>
      <c r="B957" t="s">
        <v>80</v>
      </c>
      <c r="C957" t="s">
        <v>39</v>
      </c>
      <c r="D957">
        <v>4</v>
      </c>
      <c r="E957">
        <v>4617.17</v>
      </c>
      <c r="F957" t="s">
        <v>46</v>
      </c>
      <c r="G957" s="1">
        <v>46052</v>
      </c>
      <c r="H957">
        <f t="shared" si="28"/>
        <v>18468.68</v>
      </c>
      <c r="I957" t="str">
        <f t="shared" si="29"/>
        <v>January</v>
      </c>
    </row>
    <row r="958" spans="1:9" x14ac:dyDescent="0.3">
      <c r="A958" t="s">
        <v>992</v>
      </c>
      <c r="B958" t="s">
        <v>8</v>
      </c>
      <c r="C958" t="s">
        <v>9</v>
      </c>
      <c r="D958">
        <v>3</v>
      </c>
      <c r="E958">
        <v>1780.44</v>
      </c>
      <c r="F958" t="s">
        <v>50</v>
      </c>
      <c r="G958" s="1">
        <v>46182</v>
      </c>
      <c r="H958">
        <f t="shared" si="28"/>
        <v>5341.32</v>
      </c>
      <c r="I958" t="str">
        <f t="shared" si="29"/>
        <v>June</v>
      </c>
    </row>
    <row r="959" spans="1:9" x14ac:dyDescent="0.3">
      <c r="A959" t="s">
        <v>993</v>
      </c>
      <c r="B959" t="s">
        <v>12</v>
      </c>
      <c r="C959" t="s">
        <v>13</v>
      </c>
      <c r="D959">
        <v>1</v>
      </c>
      <c r="E959">
        <v>1554.77</v>
      </c>
      <c r="F959" t="s">
        <v>32</v>
      </c>
      <c r="G959" s="1">
        <v>46120</v>
      </c>
      <c r="H959">
        <f t="shared" si="28"/>
        <v>1554.77</v>
      </c>
      <c r="I959" t="str">
        <f t="shared" si="29"/>
        <v>April</v>
      </c>
    </row>
    <row r="960" spans="1:9" x14ac:dyDescent="0.3">
      <c r="A960" t="s">
        <v>994</v>
      </c>
      <c r="B960" t="s">
        <v>62</v>
      </c>
      <c r="C960" t="s">
        <v>25</v>
      </c>
      <c r="D960">
        <v>1</v>
      </c>
      <c r="E960">
        <v>1953.37</v>
      </c>
      <c r="F960" t="s">
        <v>14</v>
      </c>
      <c r="G960" s="1">
        <v>46095</v>
      </c>
      <c r="H960">
        <f t="shared" si="28"/>
        <v>1953.37</v>
      </c>
      <c r="I960" t="str">
        <f t="shared" si="29"/>
        <v>March</v>
      </c>
    </row>
    <row r="961" spans="1:9" x14ac:dyDescent="0.3">
      <c r="A961" t="s">
        <v>995</v>
      </c>
      <c r="B961" t="s">
        <v>91</v>
      </c>
      <c r="C961" t="s">
        <v>13</v>
      </c>
      <c r="D961">
        <v>5</v>
      </c>
      <c r="E961">
        <v>58543.199999999997</v>
      </c>
      <c r="F961" t="s">
        <v>32</v>
      </c>
      <c r="G961" s="1">
        <v>46154</v>
      </c>
      <c r="H961">
        <f t="shared" si="28"/>
        <v>292716</v>
      </c>
      <c r="I961" t="str">
        <f t="shared" si="29"/>
        <v>May</v>
      </c>
    </row>
    <row r="962" spans="1:9" x14ac:dyDescent="0.3">
      <c r="A962" t="s">
        <v>996</v>
      </c>
      <c r="B962" t="s">
        <v>62</v>
      </c>
      <c r="C962" t="s">
        <v>25</v>
      </c>
      <c r="D962">
        <v>5</v>
      </c>
      <c r="E962">
        <v>1977.23</v>
      </c>
      <c r="F962" t="s">
        <v>46</v>
      </c>
      <c r="G962" s="1">
        <v>46098</v>
      </c>
      <c r="H962">
        <f t="shared" si="28"/>
        <v>9886.15</v>
      </c>
      <c r="I962" t="str">
        <f t="shared" si="29"/>
        <v>March</v>
      </c>
    </row>
    <row r="963" spans="1:9" x14ac:dyDescent="0.3">
      <c r="A963" t="s">
        <v>997</v>
      </c>
      <c r="B963" t="s">
        <v>8</v>
      </c>
      <c r="C963" t="s">
        <v>9</v>
      </c>
      <c r="D963">
        <v>2</v>
      </c>
      <c r="E963">
        <v>1735.31</v>
      </c>
      <c r="F963" t="s">
        <v>18</v>
      </c>
      <c r="G963" s="1">
        <v>46047</v>
      </c>
      <c r="H963">
        <f t="shared" ref="H963:H1001" si="30">D963*E963</f>
        <v>3470.62</v>
      </c>
      <c r="I963" t="str">
        <f t="shared" ref="I963:I1001" si="31">TEXT(G963, "mmmm")</f>
        <v>January</v>
      </c>
    </row>
    <row r="964" spans="1:9" x14ac:dyDescent="0.3">
      <c r="A964" t="s">
        <v>998</v>
      </c>
      <c r="B964" t="s">
        <v>72</v>
      </c>
      <c r="C964" t="s">
        <v>13</v>
      </c>
      <c r="D964">
        <v>5</v>
      </c>
      <c r="E964">
        <v>2214.61</v>
      </c>
      <c r="F964" t="s">
        <v>18</v>
      </c>
      <c r="G964" s="1">
        <v>46076</v>
      </c>
      <c r="H964">
        <f t="shared" si="30"/>
        <v>11073.050000000001</v>
      </c>
      <c r="I964" t="str">
        <f t="shared" si="31"/>
        <v>February</v>
      </c>
    </row>
    <row r="965" spans="1:9" x14ac:dyDescent="0.3">
      <c r="A965" t="s">
        <v>999</v>
      </c>
      <c r="B965" t="s">
        <v>8</v>
      </c>
      <c r="C965" t="s">
        <v>9</v>
      </c>
      <c r="D965">
        <v>2</v>
      </c>
      <c r="E965">
        <v>1931.38</v>
      </c>
      <c r="F965" t="s">
        <v>48</v>
      </c>
      <c r="G965" s="1">
        <v>46049</v>
      </c>
      <c r="H965">
        <f t="shared" si="30"/>
        <v>3862.76</v>
      </c>
      <c r="I965" t="str">
        <f t="shared" si="31"/>
        <v>January</v>
      </c>
    </row>
    <row r="966" spans="1:9" x14ac:dyDescent="0.3">
      <c r="A966" t="s">
        <v>1000</v>
      </c>
      <c r="B966" t="s">
        <v>12</v>
      </c>
      <c r="C966" t="s">
        <v>13</v>
      </c>
      <c r="D966">
        <v>5</v>
      </c>
      <c r="E966">
        <v>1598.62</v>
      </c>
      <c r="F966" t="s">
        <v>48</v>
      </c>
      <c r="G966" s="1">
        <v>46188</v>
      </c>
      <c r="H966">
        <f t="shared" si="30"/>
        <v>7993.0999999999995</v>
      </c>
      <c r="I966" t="str">
        <f t="shared" si="31"/>
        <v>June</v>
      </c>
    </row>
    <row r="967" spans="1:9" x14ac:dyDescent="0.3">
      <c r="A967" t="s">
        <v>1001</v>
      </c>
      <c r="B967" t="s">
        <v>38</v>
      </c>
      <c r="C967" t="s">
        <v>39</v>
      </c>
      <c r="D967">
        <v>1</v>
      </c>
      <c r="E967">
        <v>6820.96</v>
      </c>
      <c r="F967" t="s">
        <v>26</v>
      </c>
      <c r="G967" s="1">
        <v>46029</v>
      </c>
      <c r="H967">
        <f t="shared" si="30"/>
        <v>6820.96</v>
      </c>
      <c r="I967" t="str">
        <f t="shared" si="31"/>
        <v>January</v>
      </c>
    </row>
    <row r="968" spans="1:9" x14ac:dyDescent="0.3">
      <c r="A968" t="s">
        <v>1002</v>
      </c>
      <c r="B968" t="s">
        <v>44</v>
      </c>
      <c r="C968" t="s">
        <v>39</v>
      </c>
      <c r="D968">
        <v>3</v>
      </c>
      <c r="E968">
        <v>3176.52</v>
      </c>
      <c r="F968" t="s">
        <v>18</v>
      </c>
      <c r="G968" s="1">
        <v>46036</v>
      </c>
      <c r="H968">
        <f t="shared" si="30"/>
        <v>9529.56</v>
      </c>
      <c r="I968" t="str">
        <f t="shared" si="31"/>
        <v>January</v>
      </c>
    </row>
    <row r="969" spans="1:9" x14ac:dyDescent="0.3">
      <c r="A969" t="s">
        <v>1003</v>
      </c>
      <c r="B969" t="s">
        <v>72</v>
      </c>
      <c r="C969" t="s">
        <v>13</v>
      </c>
      <c r="D969">
        <v>3</v>
      </c>
      <c r="E969">
        <v>2225.56</v>
      </c>
      <c r="F969" t="s">
        <v>50</v>
      </c>
      <c r="G969" s="1">
        <v>46081</v>
      </c>
      <c r="H969">
        <f t="shared" si="30"/>
        <v>6676.68</v>
      </c>
      <c r="I969" t="str">
        <f t="shared" si="31"/>
        <v>February</v>
      </c>
    </row>
    <row r="970" spans="1:9" x14ac:dyDescent="0.3">
      <c r="A970" t="s">
        <v>1004</v>
      </c>
      <c r="B970" t="s">
        <v>24</v>
      </c>
      <c r="C970" t="s">
        <v>25</v>
      </c>
      <c r="D970">
        <v>4</v>
      </c>
      <c r="E970">
        <v>781.11</v>
      </c>
      <c r="F970" t="s">
        <v>48</v>
      </c>
      <c r="G970" s="1">
        <v>46133</v>
      </c>
      <c r="H970">
        <f t="shared" si="30"/>
        <v>3124.44</v>
      </c>
      <c r="I970" t="str">
        <f t="shared" si="31"/>
        <v>April</v>
      </c>
    </row>
    <row r="971" spans="1:9" x14ac:dyDescent="0.3">
      <c r="A971" t="s">
        <v>1005</v>
      </c>
      <c r="B971" t="s">
        <v>55</v>
      </c>
      <c r="C971" t="s">
        <v>25</v>
      </c>
      <c r="D971">
        <v>1</v>
      </c>
      <c r="E971">
        <v>2443.77</v>
      </c>
      <c r="F971" t="s">
        <v>18</v>
      </c>
      <c r="G971" s="1">
        <v>46159</v>
      </c>
      <c r="H971">
        <f t="shared" si="30"/>
        <v>2443.77</v>
      </c>
      <c r="I971" t="str">
        <f t="shared" si="31"/>
        <v>May</v>
      </c>
    </row>
    <row r="972" spans="1:9" x14ac:dyDescent="0.3">
      <c r="A972" t="s">
        <v>1006</v>
      </c>
      <c r="B972" t="s">
        <v>91</v>
      </c>
      <c r="C972" t="s">
        <v>13</v>
      </c>
      <c r="D972">
        <v>5</v>
      </c>
      <c r="E972">
        <v>50195.61</v>
      </c>
      <c r="F972" t="s">
        <v>50</v>
      </c>
      <c r="G972" s="1">
        <v>46034</v>
      </c>
      <c r="H972">
        <f t="shared" si="30"/>
        <v>250978.05</v>
      </c>
      <c r="I972" t="str">
        <f t="shared" si="31"/>
        <v>January</v>
      </c>
    </row>
    <row r="973" spans="1:9" x14ac:dyDescent="0.3">
      <c r="A973" t="s">
        <v>1007</v>
      </c>
      <c r="B973" t="s">
        <v>21</v>
      </c>
      <c r="C973" t="s">
        <v>13</v>
      </c>
      <c r="D973">
        <v>1</v>
      </c>
      <c r="E973">
        <v>27203.119999999999</v>
      </c>
      <c r="F973" t="s">
        <v>14</v>
      </c>
      <c r="G973" s="1">
        <v>46050</v>
      </c>
      <c r="H973">
        <f t="shared" si="30"/>
        <v>27203.119999999999</v>
      </c>
      <c r="I973" t="str">
        <f t="shared" si="31"/>
        <v>January</v>
      </c>
    </row>
    <row r="974" spans="1:9" x14ac:dyDescent="0.3">
      <c r="A974" t="s">
        <v>1008</v>
      </c>
      <c r="B974" t="s">
        <v>24</v>
      </c>
      <c r="C974" t="s">
        <v>25</v>
      </c>
      <c r="D974">
        <v>3</v>
      </c>
      <c r="E974">
        <v>816.03</v>
      </c>
      <c r="F974" t="s">
        <v>10</v>
      </c>
      <c r="G974" s="1">
        <v>46135</v>
      </c>
      <c r="H974">
        <f t="shared" si="30"/>
        <v>2448.09</v>
      </c>
      <c r="I974" t="str">
        <f t="shared" si="31"/>
        <v>April</v>
      </c>
    </row>
    <row r="975" spans="1:9" x14ac:dyDescent="0.3">
      <c r="A975" t="s">
        <v>1009</v>
      </c>
      <c r="B975" t="s">
        <v>28</v>
      </c>
      <c r="C975" t="s">
        <v>9</v>
      </c>
      <c r="D975">
        <v>4</v>
      </c>
      <c r="E975">
        <v>5321.06</v>
      </c>
      <c r="F975" t="s">
        <v>46</v>
      </c>
      <c r="G975" s="1">
        <v>46144</v>
      </c>
      <c r="H975">
        <f t="shared" si="30"/>
        <v>21284.240000000002</v>
      </c>
      <c r="I975" t="str">
        <f t="shared" si="31"/>
        <v>May</v>
      </c>
    </row>
    <row r="976" spans="1:9" x14ac:dyDescent="0.3">
      <c r="A976" t="s">
        <v>1010</v>
      </c>
      <c r="B976" t="s">
        <v>72</v>
      </c>
      <c r="C976" t="s">
        <v>13</v>
      </c>
      <c r="D976">
        <v>5</v>
      </c>
      <c r="E976">
        <v>2076.7399999999998</v>
      </c>
      <c r="F976" t="s">
        <v>48</v>
      </c>
      <c r="G976" s="1">
        <v>46162</v>
      </c>
      <c r="H976">
        <f t="shared" si="30"/>
        <v>10383.699999999999</v>
      </c>
      <c r="I976" t="str">
        <f t="shared" si="31"/>
        <v>May</v>
      </c>
    </row>
    <row r="977" spans="1:9" x14ac:dyDescent="0.3">
      <c r="A977" t="s">
        <v>1011</v>
      </c>
      <c r="B977" t="s">
        <v>24</v>
      </c>
      <c r="C977" t="s">
        <v>25</v>
      </c>
      <c r="D977">
        <v>2</v>
      </c>
      <c r="E977">
        <v>766.73</v>
      </c>
      <c r="F977" t="s">
        <v>32</v>
      </c>
      <c r="G977" s="1">
        <v>46025</v>
      </c>
      <c r="H977">
        <f t="shared" si="30"/>
        <v>1533.46</v>
      </c>
      <c r="I977" t="str">
        <f t="shared" si="31"/>
        <v>January</v>
      </c>
    </row>
    <row r="978" spans="1:9" x14ac:dyDescent="0.3">
      <c r="A978" t="s">
        <v>1012</v>
      </c>
      <c r="B978" t="s">
        <v>80</v>
      </c>
      <c r="C978" t="s">
        <v>39</v>
      </c>
      <c r="D978">
        <v>5</v>
      </c>
      <c r="E978">
        <v>3898.75</v>
      </c>
      <c r="F978" t="s">
        <v>46</v>
      </c>
      <c r="G978" s="1">
        <v>46024</v>
      </c>
      <c r="H978">
        <f t="shared" si="30"/>
        <v>19493.75</v>
      </c>
      <c r="I978" t="str">
        <f t="shared" si="31"/>
        <v>January</v>
      </c>
    </row>
    <row r="979" spans="1:9" x14ac:dyDescent="0.3">
      <c r="A979" t="s">
        <v>1013</v>
      </c>
      <c r="B979" t="s">
        <v>16</v>
      </c>
      <c r="C979" t="s">
        <v>17</v>
      </c>
      <c r="D979">
        <v>5</v>
      </c>
      <c r="E979">
        <v>440.47</v>
      </c>
      <c r="F979" t="s">
        <v>14</v>
      </c>
      <c r="G979" s="1">
        <v>46044</v>
      </c>
      <c r="H979">
        <f t="shared" si="30"/>
        <v>2202.3500000000004</v>
      </c>
      <c r="I979" t="str">
        <f t="shared" si="31"/>
        <v>January</v>
      </c>
    </row>
    <row r="980" spans="1:9" x14ac:dyDescent="0.3">
      <c r="A980" t="s">
        <v>1014</v>
      </c>
      <c r="B980" t="s">
        <v>24</v>
      </c>
      <c r="C980" t="s">
        <v>25</v>
      </c>
      <c r="D980">
        <v>2</v>
      </c>
      <c r="E980">
        <v>838.68</v>
      </c>
      <c r="F980" t="s">
        <v>32</v>
      </c>
      <c r="G980" s="1">
        <v>46077</v>
      </c>
      <c r="H980">
        <f t="shared" si="30"/>
        <v>1677.36</v>
      </c>
      <c r="I980" t="str">
        <f t="shared" si="31"/>
        <v>February</v>
      </c>
    </row>
    <row r="981" spans="1:9" x14ac:dyDescent="0.3">
      <c r="A981" t="s">
        <v>1015</v>
      </c>
      <c r="B981" t="s">
        <v>28</v>
      </c>
      <c r="C981" t="s">
        <v>9</v>
      </c>
      <c r="D981">
        <v>5</v>
      </c>
      <c r="E981">
        <v>4641.53</v>
      </c>
      <c r="F981" t="s">
        <v>26</v>
      </c>
      <c r="G981" s="1">
        <v>46079</v>
      </c>
      <c r="H981">
        <f t="shared" si="30"/>
        <v>23207.649999999998</v>
      </c>
      <c r="I981" t="str">
        <f t="shared" si="31"/>
        <v>February</v>
      </c>
    </row>
    <row r="982" spans="1:9" x14ac:dyDescent="0.3">
      <c r="A982" t="s">
        <v>1016</v>
      </c>
      <c r="B982" t="s">
        <v>16</v>
      </c>
      <c r="C982" t="s">
        <v>17</v>
      </c>
      <c r="D982">
        <v>3</v>
      </c>
      <c r="E982">
        <v>422.49</v>
      </c>
      <c r="F982" t="s">
        <v>26</v>
      </c>
      <c r="G982" s="1">
        <v>46194</v>
      </c>
      <c r="H982">
        <f t="shared" si="30"/>
        <v>1267.47</v>
      </c>
      <c r="I982" t="str">
        <f t="shared" si="31"/>
        <v>June</v>
      </c>
    </row>
    <row r="983" spans="1:9" x14ac:dyDescent="0.3">
      <c r="A983" t="s">
        <v>1017</v>
      </c>
      <c r="B983" t="s">
        <v>62</v>
      </c>
      <c r="C983" t="s">
        <v>25</v>
      </c>
      <c r="D983">
        <v>5</v>
      </c>
      <c r="E983">
        <v>2139.83</v>
      </c>
      <c r="F983" t="s">
        <v>14</v>
      </c>
      <c r="G983" s="1">
        <v>46141</v>
      </c>
      <c r="H983">
        <f t="shared" si="30"/>
        <v>10699.15</v>
      </c>
      <c r="I983" t="str">
        <f t="shared" si="31"/>
        <v>April</v>
      </c>
    </row>
    <row r="984" spans="1:9" x14ac:dyDescent="0.3">
      <c r="A984" t="s">
        <v>1018</v>
      </c>
      <c r="B984" t="s">
        <v>8</v>
      </c>
      <c r="C984" t="s">
        <v>9</v>
      </c>
      <c r="D984">
        <v>5</v>
      </c>
      <c r="E984">
        <v>1646.33</v>
      </c>
      <c r="F984" t="s">
        <v>18</v>
      </c>
      <c r="G984" s="1">
        <v>46087</v>
      </c>
      <c r="H984">
        <f t="shared" si="30"/>
        <v>8231.65</v>
      </c>
      <c r="I984" t="str">
        <f t="shared" si="31"/>
        <v>March</v>
      </c>
    </row>
    <row r="985" spans="1:9" x14ac:dyDescent="0.3">
      <c r="A985" t="s">
        <v>1019</v>
      </c>
      <c r="B985" t="s">
        <v>31</v>
      </c>
      <c r="C985" t="s">
        <v>13</v>
      </c>
      <c r="D985">
        <v>2</v>
      </c>
      <c r="E985">
        <v>18812.12</v>
      </c>
      <c r="F985" t="s">
        <v>22</v>
      </c>
      <c r="G985" s="1">
        <v>46107</v>
      </c>
      <c r="H985">
        <f t="shared" si="30"/>
        <v>37624.239999999998</v>
      </c>
      <c r="I985" t="str">
        <f t="shared" si="31"/>
        <v>March</v>
      </c>
    </row>
    <row r="986" spans="1:9" x14ac:dyDescent="0.3">
      <c r="A986" t="s">
        <v>1020</v>
      </c>
      <c r="B986" t="s">
        <v>55</v>
      </c>
      <c r="C986" t="s">
        <v>25</v>
      </c>
      <c r="D986">
        <v>2</v>
      </c>
      <c r="E986">
        <v>2584.61</v>
      </c>
      <c r="F986" t="s">
        <v>29</v>
      </c>
      <c r="G986" s="1">
        <v>46048</v>
      </c>
      <c r="H986">
        <f t="shared" si="30"/>
        <v>5169.22</v>
      </c>
      <c r="I986" t="str">
        <f t="shared" si="31"/>
        <v>January</v>
      </c>
    </row>
    <row r="987" spans="1:9" x14ac:dyDescent="0.3">
      <c r="A987" t="s">
        <v>1021</v>
      </c>
      <c r="B987" t="s">
        <v>24</v>
      </c>
      <c r="C987" t="s">
        <v>25</v>
      </c>
      <c r="D987">
        <v>5</v>
      </c>
      <c r="E987">
        <v>730.26</v>
      </c>
      <c r="F987" t="s">
        <v>29</v>
      </c>
      <c r="G987" s="1">
        <v>46104</v>
      </c>
      <c r="H987">
        <f t="shared" si="30"/>
        <v>3651.3</v>
      </c>
      <c r="I987" t="str">
        <f t="shared" si="31"/>
        <v>March</v>
      </c>
    </row>
    <row r="988" spans="1:9" x14ac:dyDescent="0.3">
      <c r="A988" t="s">
        <v>1022</v>
      </c>
      <c r="B988" t="s">
        <v>44</v>
      </c>
      <c r="C988" t="s">
        <v>39</v>
      </c>
      <c r="D988">
        <v>4</v>
      </c>
      <c r="E988">
        <v>3379.84</v>
      </c>
      <c r="F988" t="s">
        <v>10</v>
      </c>
      <c r="G988" s="1">
        <v>46200</v>
      </c>
      <c r="H988">
        <f t="shared" si="30"/>
        <v>13519.36</v>
      </c>
      <c r="I988" t="str">
        <f t="shared" si="31"/>
        <v>June</v>
      </c>
    </row>
    <row r="989" spans="1:9" x14ac:dyDescent="0.3">
      <c r="A989" t="s">
        <v>1023</v>
      </c>
      <c r="B989" t="s">
        <v>16</v>
      </c>
      <c r="C989" t="s">
        <v>17</v>
      </c>
      <c r="D989">
        <v>2</v>
      </c>
      <c r="E989">
        <v>455.9</v>
      </c>
      <c r="F989" t="s">
        <v>32</v>
      </c>
      <c r="G989" s="1">
        <v>46103</v>
      </c>
      <c r="H989">
        <f t="shared" si="30"/>
        <v>911.8</v>
      </c>
      <c r="I989" t="str">
        <f t="shared" si="31"/>
        <v>March</v>
      </c>
    </row>
    <row r="990" spans="1:9" x14ac:dyDescent="0.3">
      <c r="A990" t="s">
        <v>1024</v>
      </c>
      <c r="B990" t="s">
        <v>28</v>
      </c>
      <c r="C990" t="s">
        <v>9</v>
      </c>
      <c r="D990">
        <v>2</v>
      </c>
      <c r="E990">
        <v>4503.93</v>
      </c>
      <c r="F990" t="s">
        <v>29</v>
      </c>
      <c r="G990" s="1">
        <v>46079</v>
      </c>
      <c r="H990">
        <f t="shared" si="30"/>
        <v>9007.86</v>
      </c>
      <c r="I990" t="str">
        <f t="shared" si="31"/>
        <v>February</v>
      </c>
    </row>
    <row r="991" spans="1:9" x14ac:dyDescent="0.3">
      <c r="A991" t="s">
        <v>1025</v>
      </c>
      <c r="B991" t="s">
        <v>21</v>
      </c>
      <c r="C991" t="s">
        <v>13</v>
      </c>
      <c r="D991">
        <v>4</v>
      </c>
      <c r="E991">
        <v>26749.41</v>
      </c>
      <c r="F991" t="s">
        <v>32</v>
      </c>
      <c r="G991" s="1">
        <v>46057</v>
      </c>
      <c r="H991">
        <f t="shared" si="30"/>
        <v>106997.64</v>
      </c>
      <c r="I991" t="str">
        <f t="shared" si="31"/>
        <v>February</v>
      </c>
    </row>
    <row r="992" spans="1:9" x14ac:dyDescent="0.3">
      <c r="A992" t="s">
        <v>1026</v>
      </c>
      <c r="B992" t="s">
        <v>8</v>
      </c>
      <c r="C992" t="s">
        <v>9</v>
      </c>
      <c r="D992">
        <v>3</v>
      </c>
      <c r="E992">
        <v>1936.04</v>
      </c>
      <c r="F992" t="s">
        <v>22</v>
      </c>
      <c r="G992" s="1">
        <v>46137</v>
      </c>
      <c r="H992">
        <f t="shared" si="30"/>
        <v>5808.12</v>
      </c>
      <c r="I992" t="str">
        <f t="shared" si="31"/>
        <v>April</v>
      </c>
    </row>
    <row r="993" spans="1:9" x14ac:dyDescent="0.3">
      <c r="A993" t="s">
        <v>1027</v>
      </c>
      <c r="B993" t="s">
        <v>55</v>
      </c>
      <c r="C993" t="s">
        <v>25</v>
      </c>
      <c r="D993">
        <v>3</v>
      </c>
      <c r="E993">
        <v>2492.4899999999998</v>
      </c>
      <c r="F993" t="s">
        <v>18</v>
      </c>
      <c r="G993" s="1">
        <v>46067</v>
      </c>
      <c r="H993">
        <f t="shared" si="30"/>
        <v>7477.4699999999993</v>
      </c>
      <c r="I993" t="str">
        <f t="shared" si="31"/>
        <v>February</v>
      </c>
    </row>
    <row r="994" spans="1:9" x14ac:dyDescent="0.3">
      <c r="A994" t="s">
        <v>1028</v>
      </c>
      <c r="B994" t="s">
        <v>8</v>
      </c>
      <c r="C994" t="s">
        <v>9</v>
      </c>
      <c r="D994">
        <v>5</v>
      </c>
      <c r="E994">
        <v>1649.51</v>
      </c>
      <c r="F994" t="s">
        <v>10</v>
      </c>
      <c r="G994" s="1">
        <v>46058</v>
      </c>
      <c r="H994">
        <f t="shared" si="30"/>
        <v>8247.5499999999993</v>
      </c>
      <c r="I994" t="str">
        <f t="shared" si="31"/>
        <v>February</v>
      </c>
    </row>
    <row r="995" spans="1:9" x14ac:dyDescent="0.3">
      <c r="A995" t="s">
        <v>1029</v>
      </c>
      <c r="B995" t="s">
        <v>80</v>
      </c>
      <c r="C995" t="s">
        <v>39</v>
      </c>
      <c r="D995">
        <v>2</v>
      </c>
      <c r="E995">
        <v>4001.12</v>
      </c>
      <c r="F995" t="s">
        <v>18</v>
      </c>
      <c r="G995" s="1">
        <v>46042</v>
      </c>
      <c r="H995">
        <f t="shared" si="30"/>
        <v>8002.24</v>
      </c>
      <c r="I995" t="str">
        <f t="shared" si="31"/>
        <v>January</v>
      </c>
    </row>
    <row r="996" spans="1:9" x14ac:dyDescent="0.3">
      <c r="A996" t="s">
        <v>1030</v>
      </c>
      <c r="B996" t="s">
        <v>91</v>
      </c>
      <c r="C996" t="s">
        <v>13</v>
      </c>
      <c r="D996">
        <v>5</v>
      </c>
      <c r="E996">
        <v>56447.89</v>
      </c>
      <c r="F996" t="s">
        <v>50</v>
      </c>
      <c r="G996" s="1">
        <v>46171</v>
      </c>
      <c r="H996">
        <f t="shared" si="30"/>
        <v>282239.45</v>
      </c>
      <c r="I996" t="str">
        <f t="shared" si="31"/>
        <v>May</v>
      </c>
    </row>
    <row r="997" spans="1:9" x14ac:dyDescent="0.3">
      <c r="A997" t="s">
        <v>1031</v>
      </c>
      <c r="B997" t="s">
        <v>28</v>
      </c>
      <c r="C997" t="s">
        <v>9</v>
      </c>
      <c r="D997">
        <v>5</v>
      </c>
      <c r="E997">
        <v>4711.82</v>
      </c>
      <c r="F997" t="s">
        <v>46</v>
      </c>
      <c r="G997" s="1">
        <v>46164</v>
      </c>
      <c r="H997">
        <f t="shared" si="30"/>
        <v>23559.1</v>
      </c>
      <c r="I997" t="str">
        <f t="shared" si="31"/>
        <v>May</v>
      </c>
    </row>
    <row r="998" spans="1:9" x14ac:dyDescent="0.3">
      <c r="A998" t="s">
        <v>1032</v>
      </c>
      <c r="B998" t="s">
        <v>24</v>
      </c>
      <c r="C998" t="s">
        <v>25</v>
      </c>
      <c r="D998">
        <v>5</v>
      </c>
      <c r="E998">
        <v>861.96</v>
      </c>
      <c r="F998" t="s">
        <v>14</v>
      </c>
      <c r="G998" s="1">
        <v>46143</v>
      </c>
      <c r="H998">
        <f t="shared" si="30"/>
        <v>4309.8</v>
      </c>
      <c r="I998" t="str">
        <f t="shared" si="31"/>
        <v>May</v>
      </c>
    </row>
    <row r="999" spans="1:9" x14ac:dyDescent="0.3">
      <c r="A999" t="s">
        <v>1033</v>
      </c>
      <c r="B999" t="s">
        <v>8</v>
      </c>
      <c r="C999" t="s">
        <v>9</v>
      </c>
      <c r="D999">
        <v>2</v>
      </c>
      <c r="E999">
        <v>1751.69</v>
      </c>
      <c r="F999" t="s">
        <v>29</v>
      </c>
      <c r="G999" s="1">
        <v>46173</v>
      </c>
      <c r="H999">
        <f t="shared" si="30"/>
        <v>3503.38</v>
      </c>
      <c r="I999" t="str">
        <f t="shared" si="31"/>
        <v>May</v>
      </c>
    </row>
    <row r="1000" spans="1:9" x14ac:dyDescent="0.3">
      <c r="A1000" t="s">
        <v>1034</v>
      </c>
      <c r="B1000" t="s">
        <v>21</v>
      </c>
      <c r="C1000" t="s">
        <v>13</v>
      </c>
      <c r="D1000">
        <v>3</v>
      </c>
      <c r="E1000">
        <v>25949.74</v>
      </c>
      <c r="F1000" t="s">
        <v>14</v>
      </c>
      <c r="G1000" s="1">
        <v>46153</v>
      </c>
      <c r="H1000">
        <f t="shared" si="30"/>
        <v>77849.22</v>
      </c>
      <c r="I1000" t="str">
        <f t="shared" si="31"/>
        <v>May</v>
      </c>
    </row>
    <row r="1001" spans="1:9" x14ac:dyDescent="0.3">
      <c r="A1001" t="s">
        <v>1035</v>
      </c>
      <c r="B1001" t="s">
        <v>31</v>
      </c>
      <c r="C1001" t="s">
        <v>13</v>
      </c>
      <c r="D1001">
        <v>4</v>
      </c>
      <c r="E1001">
        <v>17509.919999999998</v>
      </c>
      <c r="F1001" t="s">
        <v>46</v>
      </c>
      <c r="G1001" s="1">
        <v>46192</v>
      </c>
      <c r="H1001">
        <f t="shared" si="30"/>
        <v>70039.679999999993</v>
      </c>
      <c r="I1001" t="str">
        <f t="shared" si="31"/>
        <v>June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
  <sheetViews>
    <sheetView topLeftCell="E1" workbookViewId="0">
      <selection activeCell="M10" sqref="M10"/>
    </sheetView>
  </sheetViews>
  <sheetFormatPr defaultRowHeight="14.4" x14ac:dyDescent="0.3"/>
  <cols>
    <col min="1" max="1" width="15.109375" bestFit="1" customWidth="1"/>
    <col min="2" max="2" width="20.21875" bestFit="1" customWidth="1"/>
    <col min="5" max="5" width="12.5546875" bestFit="1" customWidth="1"/>
    <col min="6" max="6" width="20.21875" bestFit="1" customWidth="1"/>
    <col min="9" max="9" width="12.5546875" bestFit="1" customWidth="1"/>
    <col min="10" max="10" width="20.21875" bestFit="1" customWidth="1"/>
    <col min="13" max="13" width="12.5546875" bestFit="1" customWidth="1"/>
    <col min="14" max="14" width="14.88671875" bestFit="1" customWidth="1"/>
    <col min="15" max="15" width="9" bestFit="1" customWidth="1"/>
    <col min="16" max="16" width="5.33203125" bestFit="1" customWidth="1"/>
    <col min="17" max="17" width="12.44140625" bestFit="1" customWidth="1"/>
    <col min="18" max="18" width="11.5546875" bestFit="1" customWidth="1"/>
    <col min="19" max="19" width="5.5546875" bestFit="1" customWidth="1"/>
    <col min="20" max="20" width="9.109375" bestFit="1" customWidth="1"/>
    <col min="21" max="21" width="6.88671875" bestFit="1" customWidth="1"/>
    <col min="22" max="22" width="5.77734375" bestFit="1" customWidth="1"/>
    <col min="23" max="23" width="6" bestFit="1" customWidth="1"/>
    <col min="24" max="24" width="11.44140625" bestFit="1" customWidth="1"/>
    <col min="25" max="25" width="6.21875" bestFit="1" customWidth="1"/>
    <col min="26" max="26" width="6.5546875" bestFit="1" customWidth="1"/>
    <col min="27" max="27" width="6.44140625" bestFit="1" customWidth="1"/>
    <col min="28" max="28" width="10.77734375" bestFit="1" customWidth="1"/>
  </cols>
  <sheetData>
    <row r="1" spans="1:14" x14ac:dyDescent="0.3">
      <c r="A1" s="2" t="s">
        <v>1038</v>
      </c>
      <c r="B1" t="s">
        <v>1040</v>
      </c>
      <c r="E1" s="2" t="s">
        <v>1038</v>
      </c>
      <c r="F1" t="s">
        <v>1040</v>
      </c>
      <c r="I1" s="2" t="s">
        <v>1038</v>
      </c>
      <c r="J1" t="s">
        <v>1040</v>
      </c>
      <c r="M1" s="2" t="s">
        <v>1038</v>
      </c>
      <c r="N1" t="s">
        <v>1047</v>
      </c>
    </row>
    <row r="2" spans="1:14" x14ac:dyDescent="0.3">
      <c r="A2" s="3" t="s">
        <v>9</v>
      </c>
      <c r="B2" s="4">
        <v>157789.82999999996</v>
      </c>
      <c r="E2" s="3" t="s">
        <v>14</v>
      </c>
      <c r="F2" s="4">
        <v>2798244.0299999993</v>
      </c>
      <c r="I2" s="3" t="s">
        <v>1041</v>
      </c>
      <c r="J2" s="4">
        <v>416690.74</v>
      </c>
      <c r="M2" s="3" t="s">
        <v>38</v>
      </c>
      <c r="N2" s="4">
        <v>22</v>
      </c>
    </row>
    <row r="3" spans="1:14" x14ac:dyDescent="0.3">
      <c r="A3" s="3" t="s">
        <v>17</v>
      </c>
      <c r="B3" s="4">
        <v>7698.1</v>
      </c>
      <c r="E3" s="3" t="s">
        <v>1039</v>
      </c>
      <c r="F3" s="4">
        <v>2798244.0299999993</v>
      </c>
      <c r="I3" s="3" t="s">
        <v>1042</v>
      </c>
      <c r="J3" s="4">
        <v>566813.51999999979</v>
      </c>
      <c r="M3" s="3" t="s">
        <v>8</v>
      </c>
      <c r="N3" s="4">
        <v>25</v>
      </c>
    </row>
    <row r="4" spans="1:14" x14ac:dyDescent="0.3">
      <c r="A4" s="3" t="s">
        <v>13</v>
      </c>
      <c r="B4" s="4">
        <v>2208307.5999999996</v>
      </c>
      <c r="I4" s="3" t="s">
        <v>1043</v>
      </c>
      <c r="J4" s="4">
        <v>663331.50000000012</v>
      </c>
      <c r="M4" s="3" t="s">
        <v>16</v>
      </c>
      <c r="N4" s="4">
        <v>17</v>
      </c>
    </row>
    <row r="5" spans="1:14" x14ac:dyDescent="0.3">
      <c r="A5" s="3" t="s">
        <v>25</v>
      </c>
      <c r="B5" s="4">
        <v>138585.42000000001</v>
      </c>
      <c r="I5" s="3" t="s">
        <v>1044</v>
      </c>
      <c r="J5" s="4">
        <v>262006.59</v>
      </c>
      <c r="M5" s="3" t="s">
        <v>80</v>
      </c>
      <c r="N5" s="4">
        <v>10</v>
      </c>
    </row>
    <row r="6" spans="1:14" x14ac:dyDescent="0.3">
      <c r="A6" s="3" t="s">
        <v>39</v>
      </c>
      <c r="B6" s="4">
        <v>285863.08000000007</v>
      </c>
      <c r="I6" s="3" t="s">
        <v>1045</v>
      </c>
      <c r="J6" s="4">
        <v>375102.75</v>
      </c>
      <c r="M6" s="3" t="s">
        <v>72</v>
      </c>
      <c r="N6" s="4">
        <v>15</v>
      </c>
    </row>
    <row r="7" spans="1:14" x14ac:dyDescent="0.3">
      <c r="A7" s="3" t="s">
        <v>1039</v>
      </c>
      <c r="B7" s="4">
        <v>2798244.03</v>
      </c>
      <c r="I7" s="3" t="s">
        <v>1046</v>
      </c>
      <c r="J7" s="4">
        <v>514298.93</v>
      </c>
      <c r="M7" s="3" t="s">
        <v>62</v>
      </c>
      <c r="N7" s="4">
        <v>29</v>
      </c>
    </row>
    <row r="8" spans="1:14" x14ac:dyDescent="0.3">
      <c r="I8" s="3" t="s">
        <v>1039</v>
      </c>
      <c r="J8" s="4">
        <v>2798244.03</v>
      </c>
      <c r="M8" s="3" t="s">
        <v>12</v>
      </c>
      <c r="N8" s="4">
        <v>43</v>
      </c>
    </row>
    <row r="9" spans="1:14" x14ac:dyDescent="0.3">
      <c r="M9" s="3" t="s">
        <v>91</v>
      </c>
      <c r="N9" s="4">
        <v>18</v>
      </c>
    </row>
    <row r="10" spans="1:14" x14ac:dyDescent="0.3">
      <c r="M10" s="3" t="s">
        <v>44</v>
      </c>
      <c r="N10" s="4">
        <v>30</v>
      </c>
    </row>
    <row r="11" spans="1:14" x14ac:dyDescent="0.3">
      <c r="M11" s="3" t="s">
        <v>55</v>
      </c>
      <c r="N11" s="4">
        <v>22</v>
      </c>
    </row>
    <row r="12" spans="1:14" x14ac:dyDescent="0.3">
      <c r="M12" s="3" t="s">
        <v>31</v>
      </c>
      <c r="N12" s="4">
        <v>23</v>
      </c>
    </row>
    <row r="13" spans="1:14" x14ac:dyDescent="0.3">
      <c r="M13" s="3" t="s">
        <v>21</v>
      </c>
      <c r="N13" s="4">
        <v>25</v>
      </c>
    </row>
    <row r="14" spans="1:14" x14ac:dyDescent="0.3">
      <c r="M14" s="3" t="s">
        <v>24</v>
      </c>
      <c r="N14" s="4">
        <v>32</v>
      </c>
    </row>
    <row r="15" spans="1:14" x14ac:dyDescent="0.3">
      <c r="M15" s="3" t="s">
        <v>28</v>
      </c>
      <c r="N15" s="4">
        <v>23</v>
      </c>
    </row>
    <row r="16" spans="1:14" x14ac:dyDescent="0.3">
      <c r="M16" s="3" t="s">
        <v>1039</v>
      </c>
      <c r="N16" s="4">
        <v>334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8"/>
  <sheetViews>
    <sheetView showGridLines="0" tabSelected="1" zoomScale="64" zoomScaleNormal="64" workbookViewId="0">
      <selection activeCell="AL45" sqref="AL45"/>
    </sheetView>
  </sheetViews>
  <sheetFormatPr defaultRowHeight="14.4" x14ac:dyDescent="0.3"/>
  <cols>
    <col min="1" max="1" width="1.88671875" customWidth="1"/>
    <col min="19" max="19" width="25.5546875" customWidth="1"/>
  </cols>
  <sheetData>
    <row r="1" spans="1:21" s="6" customFormat="1" ht="33.6" customHeight="1" x14ac:dyDescent="0.3">
      <c r="A1" s="5"/>
      <c r="B1" s="7" t="s">
        <v>1048</v>
      </c>
      <c r="C1" s="8"/>
      <c r="D1" s="8"/>
      <c r="E1" s="8"/>
      <c r="F1" s="8"/>
      <c r="G1" s="8"/>
      <c r="H1" s="8"/>
      <c r="I1" s="8"/>
      <c r="J1" s="8"/>
      <c r="K1" s="8"/>
      <c r="L1" s="8"/>
      <c r="M1" s="8"/>
      <c r="N1" s="8"/>
      <c r="O1" s="8"/>
      <c r="P1" s="8"/>
      <c r="Q1" s="8"/>
      <c r="R1" s="8"/>
      <c r="S1" s="8"/>
      <c r="T1" s="8"/>
      <c r="U1" s="8"/>
    </row>
    <row r="2" spans="1:21" s="6" customFormat="1" x14ac:dyDescent="0.3">
      <c r="A2" s="5"/>
      <c r="B2" s="8"/>
      <c r="C2" s="8"/>
      <c r="D2" s="8"/>
      <c r="E2" s="8"/>
      <c r="F2" s="8"/>
      <c r="G2" s="8"/>
      <c r="H2" s="8"/>
      <c r="I2" s="8"/>
      <c r="J2" s="8"/>
      <c r="K2" s="8"/>
      <c r="L2" s="8"/>
      <c r="M2" s="8"/>
      <c r="N2" s="8"/>
      <c r="O2" s="8"/>
      <c r="P2" s="8"/>
      <c r="Q2" s="8"/>
      <c r="R2" s="8"/>
      <c r="S2" s="8"/>
      <c r="T2" s="8"/>
      <c r="U2" s="8"/>
    </row>
    <row r="3" spans="1:21" s="6" customFormat="1" x14ac:dyDescent="0.3">
      <c r="A3" s="5"/>
      <c r="B3" s="8"/>
      <c r="C3" s="8"/>
      <c r="D3" s="8"/>
      <c r="E3" s="8"/>
      <c r="F3" s="8"/>
      <c r="G3" s="8"/>
      <c r="H3" s="8"/>
      <c r="I3" s="8"/>
      <c r="J3" s="8"/>
      <c r="K3" s="8"/>
      <c r="L3" s="8"/>
      <c r="M3" s="8"/>
      <c r="N3" s="8"/>
      <c r="O3" s="8"/>
      <c r="P3" s="8"/>
      <c r="Q3" s="8"/>
      <c r="R3" s="8"/>
      <c r="S3" s="8"/>
      <c r="T3" s="8"/>
      <c r="U3" s="8"/>
    </row>
    <row r="13" spans="1:21" x14ac:dyDescent="0.3">
      <c r="R13" s="9">
        <f>SUM(ecommerce_sales_1000_records!H:H)</f>
        <v>27620651.090000011</v>
      </c>
      <c r="S13" s="9"/>
    </row>
    <row r="14" spans="1:21" x14ac:dyDescent="0.3">
      <c r="R14" s="9"/>
      <c r="S14" s="9"/>
    </row>
    <row r="15" spans="1:21" x14ac:dyDescent="0.3">
      <c r="R15" s="9"/>
      <c r="S15" s="9"/>
    </row>
    <row r="16" spans="1:21" ht="24.6" customHeight="1" x14ac:dyDescent="0.3">
      <c r="R16" s="9"/>
      <c r="S16" s="9"/>
    </row>
    <row r="20" spans="18:19" x14ac:dyDescent="0.3">
      <c r="R20" s="10">
        <f>COUNTA(ecommerce_sales_1000_records!A:A)-1</f>
        <v>1000</v>
      </c>
      <c r="S20" s="10"/>
    </row>
    <row r="21" spans="18:19" x14ac:dyDescent="0.3">
      <c r="R21" s="10"/>
      <c r="S21" s="10"/>
    </row>
    <row r="22" spans="18:19" x14ac:dyDescent="0.3">
      <c r="R22" s="10"/>
      <c r="S22" s="10"/>
    </row>
    <row r="23" spans="18:19" x14ac:dyDescent="0.3">
      <c r="R23" s="10"/>
      <c r="S23" s="10"/>
    </row>
    <row r="26" spans="18:19" x14ac:dyDescent="0.3">
      <c r="R26" s="11">
        <f>AVERAGE(ecommerce_sales_1000_records!H:H)</f>
        <v>27620.65109000001</v>
      </c>
      <c r="S26" s="11"/>
    </row>
    <row r="27" spans="18:19" x14ac:dyDescent="0.3">
      <c r="R27" s="11"/>
      <c r="S27" s="11"/>
    </row>
    <row r="28" spans="18:19" x14ac:dyDescent="0.3">
      <c r="R28" s="11"/>
      <c r="S28" s="11"/>
    </row>
    <row r="29" spans="18:19" x14ac:dyDescent="0.3">
      <c r="R29" s="11"/>
      <c r="S29" s="11"/>
    </row>
    <row r="30" spans="18:19" x14ac:dyDescent="0.3">
      <c r="R30" s="11"/>
      <c r="S30" s="11"/>
    </row>
    <row r="33" spans="18:19" x14ac:dyDescent="0.3">
      <c r="R33" s="10">
        <f>SUM(ecommerce_sales_1000_records!D:D)</f>
        <v>3035</v>
      </c>
      <c r="S33" s="10"/>
    </row>
    <row r="34" spans="18:19" x14ac:dyDescent="0.3">
      <c r="R34" s="10"/>
      <c r="S34" s="10"/>
    </row>
    <row r="35" spans="18:19" x14ac:dyDescent="0.3">
      <c r="R35" s="10"/>
      <c r="S35" s="10"/>
    </row>
    <row r="36" spans="18:19" x14ac:dyDescent="0.3">
      <c r="R36" s="10"/>
      <c r="S36" s="10"/>
    </row>
    <row r="37" spans="18:19" x14ac:dyDescent="0.3">
      <c r="R37" s="10"/>
      <c r="S37" s="10"/>
    </row>
    <row r="38" spans="18:19" x14ac:dyDescent="0.3">
      <c r="R38" s="10"/>
      <c r="S38" s="10"/>
    </row>
  </sheetData>
  <mergeCells count="5">
    <mergeCell ref="B1:U3"/>
    <mergeCell ref="R13:S16"/>
    <mergeCell ref="R20:S23"/>
    <mergeCell ref="R26:S30"/>
    <mergeCell ref="R33:S38"/>
  </mergeCells>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ecommerce_sales_1000_records</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Tharinduni Boyagoda</cp:lastModifiedBy>
  <cp:lastPrinted>2026-06-22T17:01:25Z</cp:lastPrinted>
  <dcterms:created xsi:type="dcterms:W3CDTF">2026-06-22T15:52:37Z</dcterms:created>
  <dcterms:modified xsi:type="dcterms:W3CDTF">2026-06-26T13:47:50Z</dcterms:modified>
</cp:coreProperties>
</file>